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Área de Trabalho\Personal\Supplements\"/>
    </mc:Choice>
  </mc:AlternateContent>
  <xr:revisionPtr revIDLastSave="0" documentId="8_{826C4271-F061-4C13-8A1F-12B650F5E9C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pplements" sheetId="1" r:id="rId1"/>
    <sheet name="Substances" sheetId="5" r:id="rId2"/>
    <sheet name="Pedido Control Vita" sheetId="10" r:id="rId3"/>
    <sheet name="Pedido Control Vita (2)" sheetId="9" r:id="rId4"/>
    <sheet name="Wish-Lis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34" i="10"/>
  <c r="B35" i="10" s="1"/>
  <c r="B36" i="10" s="1"/>
  <c r="B37" i="10" s="1"/>
  <c r="B38" i="10" s="1"/>
  <c r="B39" i="10" s="1"/>
  <c r="B40" i="10" s="1"/>
  <c r="B41" i="10" s="1"/>
  <c r="B33" i="10"/>
</calcChain>
</file>

<file path=xl/sharedStrings.xml><?xml version="1.0" encoding="utf-8"?>
<sst xmlns="http://schemas.openxmlformats.org/spreadsheetml/2006/main" count="523" uniqueCount="223">
  <si>
    <t>Supplement</t>
  </si>
  <si>
    <t>Quantity</t>
  </si>
  <si>
    <t>Dose Per Day</t>
  </si>
  <si>
    <t>Magnesium Glycinate</t>
  </si>
  <si>
    <t>Magnesium Dimalate</t>
  </si>
  <si>
    <t>Magnesium Threonate</t>
  </si>
  <si>
    <t>Vitamin A</t>
  </si>
  <si>
    <t>Vitamin C</t>
  </si>
  <si>
    <t>NAC</t>
  </si>
  <si>
    <t>Apigenin</t>
  </si>
  <si>
    <t>CDP-Choline</t>
  </si>
  <si>
    <t>Digestive Enzymes</t>
  </si>
  <si>
    <t>L-Citrulline Malate</t>
  </si>
  <si>
    <t>Creatine Monohydrate</t>
  </si>
  <si>
    <t>Whey Protein (ISO100)</t>
  </si>
  <si>
    <t>Taurine</t>
  </si>
  <si>
    <t>Beta-Alanine</t>
  </si>
  <si>
    <t>NMN</t>
  </si>
  <si>
    <t>Lion’s Mane</t>
  </si>
  <si>
    <t>Astaxanthin</t>
  </si>
  <si>
    <t>Glycine</t>
  </si>
  <si>
    <t>L-Ergothioneine</t>
  </si>
  <si>
    <t>Spermidine</t>
  </si>
  <si>
    <t>Tart Cherry</t>
  </si>
  <si>
    <t>Control Vita</t>
  </si>
  <si>
    <t>300g</t>
  </si>
  <si>
    <t>2kg</t>
  </si>
  <si>
    <t>5g</t>
  </si>
  <si>
    <t>1 scoop</t>
  </si>
  <si>
    <t>Amazon</t>
  </si>
  <si>
    <t>Pre-Workout</t>
  </si>
  <si>
    <t>2 scoops</t>
  </si>
  <si>
    <t>iHerb</t>
  </si>
  <si>
    <t>Supplier</t>
  </si>
  <si>
    <t>3g</t>
  </si>
  <si>
    <t>Item</t>
  </si>
  <si>
    <t>60 pills</t>
  </si>
  <si>
    <t>1 pill</t>
  </si>
  <si>
    <t>120 pills</t>
  </si>
  <si>
    <t>2 pills</t>
  </si>
  <si>
    <t>3 pills</t>
  </si>
  <si>
    <t>Omega-3 EPA + DHA</t>
  </si>
  <si>
    <t>600g</t>
  </si>
  <si>
    <t>4kg</t>
  </si>
  <si>
    <t>Storage</t>
  </si>
  <si>
    <t>Daily</t>
  </si>
  <si>
    <t>Training Days</t>
  </si>
  <si>
    <t>Fridge</t>
  </si>
  <si>
    <t>Pantry</t>
  </si>
  <si>
    <t>1. Pre-breakfast</t>
  </si>
  <si>
    <t>2. Breakfast</t>
  </si>
  <si>
    <t>5. Before Bed</t>
  </si>
  <si>
    <t>Antioxidant</t>
  </si>
  <si>
    <t>Performance</t>
  </si>
  <si>
    <t>Longevity</t>
  </si>
  <si>
    <t>Mineral</t>
  </si>
  <si>
    <t>Sleep</t>
  </si>
  <si>
    <t>Vitamin</t>
  </si>
  <si>
    <t>Cycle</t>
  </si>
  <si>
    <t>When to take it</t>
  </si>
  <si>
    <t>Dose</t>
  </si>
  <si>
    <t>Fisetin</t>
  </si>
  <si>
    <t>Urolithin A</t>
  </si>
  <si>
    <t>Ubiquinol</t>
  </si>
  <si>
    <t>Upgrade to CoQ10</t>
  </si>
  <si>
    <t>L-Carnitine (ALCAR)</t>
  </si>
  <si>
    <t>L-Tyrosine</t>
  </si>
  <si>
    <t>Ashwagandha</t>
  </si>
  <si>
    <t>L-Theanine</t>
  </si>
  <si>
    <t>Inositol</t>
  </si>
  <si>
    <t>Mood/sleep/metabolism</t>
  </si>
  <si>
    <t>Tongkat Ali</t>
  </si>
  <si>
    <t>Testosterone/libido</t>
  </si>
  <si>
    <t>Senolytic</t>
  </si>
  <si>
    <t>Mitochondria</t>
  </si>
  <si>
    <t>Brain</t>
  </si>
  <si>
    <t>Focus</t>
  </si>
  <si>
    <t>Adaptogen</t>
  </si>
  <si>
    <t>Liposomal Urolithin</t>
  </si>
  <si>
    <t>500 mg</t>
  </si>
  <si>
    <t>iHerb (Codeage)</t>
  </si>
  <si>
    <t>Vitamin D3</t>
  </si>
  <si>
    <t>Curcumin</t>
  </si>
  <si>
    <t>Piperine</t>
  </si>
  <si>
    <t>10 mg</t>
  </si>
  <si>
    <t>50 mg</t>
  </si>
  <si>
    <t>100 mg</t>
  </si>
  <si>
    <t>350 mg</t>
  </si>
  <si>
    <t>20 mg</t>
  </si>
  <si>
    <t>Amino Acid Complex</t>
  </si>
  <si>
    <t>30 scoops</t>
  </si>
  <si>
    <t>iHerb (Thorne)</t>
  </si>
  <si>
    <t>Cindura</t>
  </si>
  <si>
    <t>Testofen</t>
  </si>
  <si>
    <t>Dimpless</t>
  </si>
  <si>
    <t>Vinitrox</t>
  </si>
  <si>
    <t>Colagen</t>
  </si>
  <si>
    <t>Pepti Strong</t>
  </si>
  <si>
    <t>2.4 g</t>
  </si>
  <si>
    <t>300 mg</t>
  </si>
  <si>
    <t>800 mg</t>
  </si>
  <si>
    <t>1 pack</t>
  </si>
  <si>
    <t>4. Workout</t>
  </si>
  <si>
    <t>Dose Amount</t>
  </si>
  <si>
    <t>1000 mg</t>
  </si>
  <si>
    <t>2000 mg</t>
  </si>
  <si>
    <t>25 mg</t>
  </si>
  <si>
    <t>1 mg</t>
  </si>
  <si>
    <t>Reason</t>
  </si>
  <si>
    <t>1620 mg + 1080 mg</t>
  </si>
  <si>
    <t>60 packs</t>
  </si>
  <si>
    <t>Colagen + Pepti Strong + Orange Extract</t>
  </si>
  <si>
    <t>3 g</t>
  </si>
  <si>
    <t>5 g</t>
  </si>
  <si>
    <t>10 g</t>
  </si>
  <si>
    <t>25 g</t>
  </si>
  <si>
    <t>Boron</t>
  </si>
  <si>
    <t>0.4 mg</t>
  </si>
  <si>
    <t>3 mg</t>
  </si>
  <si>
    <t>3 mg + 20 mg + 0.4 mg + 1 mg</t>
  </si>
  <si>
    <t>10 g + 2.4 g + 1 g</t>
  </si>
  <si>
    <t>B6</t>
  </si>
  <si>
    <t>B9</t>
  </si>
  <si>
    <t>B12</t>
  </si>
  <si>
    <t>Quercitin</t>
  </si>
  <si>
    <t>Reveratrol</t>
  </si>
  <si>
    <t xml:space="preserve">350 mg </t>
  </si>
  <si>
    <t>8 mg</t>
  </si>
  <si>
    <t>Vitamin K2 MK-7</t>
  </si>
  <si>
    <t>Zinc</t>
  </si>
  <si>
    <t>PQQ CoQ10</t>
  </si>
  <si>
    <t>4000 IU</t>
  </si>
  <si>
    <t>200 mcg</t>
  </si>
  <si>
    <t>Orange Extract</t>
  </si>
  <si>
    <t xml:space="preserve">10 g </t>
  </si>
  <si>
    <t>1 g</t>
  </si>
  <si>
    <t>Copper</t>
  </si>
  <si>
    <t>200 mg</t>
  </si>
  <si>
    <t>2 mg</t>
  </si>
  <si>
    <t>Classification</t>
  </si>
  <si>
    <t>Bone health</t>
  </si>
  <si>
    <t>Energy metabolism</t>
  </si>
  <si>
    <t>Cell growth</t>
  </si>
  <si>
    <t>Cognitive health</t>
  </si>
  <si>
    <t>Amino Acid</t>
  </si>
  <si>
    <t>Liver support</t>
  </si>
  <si>
    <t>Nucleotide Derivative</t>
  </si>
  <si>
    <t>Polyphenol</t>
  </si>
  <si>
    <t>Anti inflammatory</t>
  </si>
  <si>
    <t>Flavonoid</t>
  </si>
  <si>
    <t>Carotenoid</t>
  </si>
  <si>
    <t>Vision</t>
  </si>
  <si>
    <t>Heart health</t>
  </si>
  <si>
    <t>Immune support</t>
  </si>
  <si>
    <t>Skin health</t>
  </si>
  <si>
    <t>Plant Extract</t>
  </si>
  <si>
    <t>Cellular energy</t>
  </si>
  <si>
    <t>Cognitive support</t>
  </si>
  <si>
    <t>Choline Compound</t>
  </si>
  <si>
    <t>Absorption support</t>
  </si>
  <si>
    <t>Alkaloid</t>
  </si>
  <si>
    <t>Mushroom Extract</t>
  </si>
  <si>
    <t>Cellular health</t>
  </si>
  <si>
    <t>Polyamine</t>
  </si>
  <si>
    <t>Fatty Acid</t>
  </si>
  <si>
    <t>Joint health</t>
  </si>
  <si>
    <t>Protein</t>
  </si>
  <si>
    <t>Recovery</t>
  </si>
  <si>
    <t>Relaxation</t>
  </si>
  <si>
    <t>Endurance</t>
  </si>
  <si>
    <t>Blood flow</t>
  </si>
  <si>
    <t>Supplement Blend</t>
  </si>
  <si>
    <t>Digestion</t>
  </si>
  <si>
    <t>Enzyme Blend</t>
  </si>
  <si>
    <t>Use</t>
  </si>
  <si>
    <t>Muscles</t>
  </si>
  <si>
    <t>Testosterone</t>
  </si>
  <si>
    <t>3000 IU</t>
  </si>
  <si>
    <t>Peptide</t>
  </si>
  <si>
    <t>Juba de Leão</t>
  </si>
  <si>
    <t>Número de Pílulas</t>
  </si>
  <si>
    <t>1 sache</t>
  </si>
  <si>
    <t>Dose total</t>
  </si>
  <si>
    <t>Ácido fólico (L-metilfolato - L-5-MTHF)</t>
  </si>
  <si>
    <t>Formulação</t>
  </si>
  <si>
    <t>Boro</t>
  </si>
  <si>
    <t xml:space="preserve">Vitamina B6 (Piridoxal-5-fosfato - P5P) </t>
  </si>
  <si>
    <t>Vitamina B12 (Metilcobalamina)</t>
  </si>
  <si>
    <t xml:space="preserve">Vitamina E (Tocoferóis mistos) </t>
  </si>
  <si>
    <t xml:space="preserve">500 mg </t>
  </si>
  <si>
    <t>Supplemento</t>
  </si>
  <si>
    <t>Vitamina A</t>
  </si>
  <si>
    <t xml:space="preserve">Vitamina D3 </t>
  </si>
  <si>
    <t>Vitamina K2 MK-7</t>
  </si>
  <si>
    <t xml:space="preserve">200 mcg </t>
  </si>
  <si>
    <t xml:space="preserve">200 mg </t>
  </si>
  <si>
    <t xml:space="preserve">4000 IU </t>
  </si>
  <si>
    <t>Quantidade de pílulas</t>
  </si>
  <si>
    <t>Colageno</t>
  </si>
  <si>
    <t>Extrato de Laranja</t>
  </si>
  <si>
    <t>Vitamina E (Tocoferóis mistos)</t>
  </si>
  <si>
    <t>Zinco</t>
  </si>
  <si>
    <t>Quercetina</t>
  </si>
  <si>
    <t>Astaxantina</t>
  </si>
  <si>
    <t>CDP-Colina</t>
  </si>
  <si>
    <t xml:space="preserve">PeptiStrong </t>
  </si>
  <si>
    <t xml:space="preserve">ViNitrox </t>
  </si>
  <si>
    <t>Apigenina</t>
  </si>
  <si>
    <t>L-Teanina</t>
  </si>
  <si>
    <t>Vitamina C</t>
  </si>
  <si>
    <t>Ômega-3 EPA + DHA</t>
  </si>
  <si>
    <t>300 g</t>
  </si>
  <si>
    <t>500 g</t>
  </si>
  <si>
    <t>N/A</t>
  </si>
  <si>
    <t>Taurina</t>
  </si>
  <si>
    <t>Magnésio Dimalato</t>
  </si>
  <si>
    <t>Magnésio Glycinato</t>
  </si>
  <si>
    <t>Magnésio Treonato</t>
  </si>
  <si>
    <t>Beta-Alinina</t>
  </si>
  <si>
    <t>L-Citrullina Malato</t>
  </si>
  <si>
    <t>Glícina</t>
  </si>
  <si>
    <t>Zinco Quelado</t>
  </si>
  <si>
    <t>B6 + B9 + 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</si>
</sst>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5" xfId="0" applyFill="1" applyBorder="1"/>
    <xf numFmtId="14" fontId="0" fillId="5" borderId="5" xfId="0" applyNumberFormat="1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7" borderId="1" xfId="0" applyFill="1" applyBorder="1"/>
    <xf numFmtId="14" fontId="0" fillId="7" borderId="1" xfId="0" applyNumberFormat="1" applyFill="1" applyBorder="1"/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/>
    <xf numFmtId="14" fontId="0" fillId="9" borderId="1" xfId="0" applyNumberFormat="1" applyFill="1" applyBorder="1"/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/>
    <xf numFmtId="14" fontId="0" fillId="10" borderId="1" xfId="0" applyNumberFormat="1" applyFill="1" applyBorder="1"/>
    <xf numFmtId="0" fontId="0" fillId="10" borderId="1" xfId="0" applyFill="1" applyBorder="1" applyAlignment="1">
      <alignment horizontal="center" vertical="center" wrapText="1"/>
    </xf>
    <xf numFmtId="0" fontId="0" fillId="10" borderId="5" xfId="0" applyFill="1" applyBorder="1"/>
    <xf numFmtId="0" fontId="0" fillId="10" borderId="5" xfId="0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/>
    </xf>
    <xf numFmtId="0" fontId="0" fillId="11" borderId="1" xfId="0" applyFill="1" applyBorder="1"/>
    <xf numFmtId="0" fontId="0" fillId="11" borderId="6" xfId="0" applyFill="1" applyBorder="1" applyAlignment="1">
      <alignment horizontal="left"/>
    </xf>
    <xf numFmtId="0" fontId="0" fillId="11" borderId="7" xfId="0" applyFill="1" applyBorder="1"/>
    <xf numFmtId="0" fontId="0" fillId="4" borderId="6" xfId="0" applyFill="1" applyBorder="1" applyAlignment="1">
      <alignment horizontal="left"/>
    </xf>
    <xf numFmtId="0" fontId="0" fillId="4" borderId="1" xfId="0" applyFill="1" applyBorder="1"/>
    <xf numFmtId="0" fontId="0" fillId="4" borderId="7" xfId="0" applyFill="1" applyBorder="1"/>
    <xf numFmtId="0" fontId="0" fillId="2" borderId="6" xfId="0" applyFill="1" applyBorder="1" applyAlignment="1">
      <alignment horizontal="left"/>
    </xf>
    <xf numFmtId="0" fontId="0" fillId="2" borderId="1" xfId="0" applyFill="1" applyBorder="1"/>
    <xf numFmtId="0" fontId="0" fillId="2" borderId="7" xfId="0" applyFill="1" applyBorder="1"/>
    <xf numFmtId="0" fontId="0" fillId="6" borderId="6" xfId="0" applyFill="1" applyBorder="1" applyAlignment="1">
      <alignment horizontal="left"/>
    </xf>
    <xf numFmtId="0" fontId="0" fillId="6" borderId="1" xfId="0" applyFill="1" applyBorder="1"/>
    <xf numFmtId="0" fontId="0" fillId="6" borderId="7" xfId="0" applyFill="1" applyBorder="1"/>
    <xf numFmtId="0" fontId="0" fillId="3" borderId="6" xfId="0" applyFill="1" applyBorder="1" applyAlignment="1">
      <alignment horizontal="left"/>
    </xf>
    <xf numFmtId="0" fontId="0" fillId="3" borderId="1" xfId="0" applyFill="1" applyBorder="1"/>
    <xf numFmtId="0" fontId="0" fillId="3" borderId="7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/>
    <xf numFmtId="0" fontId="0" fillId="12" borderId="6" xfId="0" applyFill="1" applyBorder="1" applyAlignment="1">
      <alignment horizontal="left"/>
    </xf>
    <xf numFmtId="0" fontId="0" fillId="12" borderId="1" xfId="0" applyFill="1" applyBorder="1"/>
    <xf numFmtId="0" fontId="0" fillId="12" borderId="7" xfId="0" applyFill="1" applyBorder="1"/>
    <xf numFmtId="0" fontId="0" fillId="13" borderId="6" xfId="0" applyFill="1" applyBorder="1" applyAlignment="1">
      <alignment horizontal="left"/>
    </xf>
    <xf numFmtId="0" fontId="0" fillId="13" borderId="1" xfId="0" applyFill="1" applyBorder="1"/>
    <xf numFmtId="0" fontId="0" fillId="13" borderId="7" xfId="0" applyFill="1" applyBorder="1"/>
    <xf numFmtId="0" fontId="0" fillId="4" borderId="8" xfId="0" applyFill="1" applyBorder="1" applyAlignment="1">
      <alignment horizontal="left"/>
    </xf>
    <xf numFmtId="0" fontId="0" fillId="4" borderId="5" xfId="0" applyFill="1" applyBorder="1"/>
    <xf numFmtId="0" fontId="0" fillId="4" borderId="9" xfId="0" applyFill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6" borderId="1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4" xfId="0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17" xfId="0" applyFill="1" applyBorder="1"/>
    <xf numFmtId="0" fontId="0" fillId="20" borderId="17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/>
    </xf>
    <xf numFmtId="0" fontId="0" fillId="20" borderId="15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/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0" fillId="16" borderId="5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21" borderId="5" xfId="0" applyFill="1" applyBorder="1" applyAlignment="1">
      <alignment horizontal="center"/>
    </xf>
  </cellXfs>
  <cellStyles count="1">
    <cellStyle name="Normal" xfId="0" builtinId="0"/>
  </cellStyles>
  <dxfs count="47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000000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19" formatCode="dd/mm/yyyy"/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3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527B9-287F-4843-AAE0-98755E2FDBA0}" name="Table1" displayName="Table1" ref="B3:J15" totalsRowShown="0" headerRowDxfId="46" dataDxfId="44" headerRowBorderDxfId="45" tableBorderDxfId="43">
  <autoFilter ref="B3:J15" xr:uid="{07D527B9-287F-4843-AAE0-98755E2FDBA0}"/>
  <sortState xmlns:xlrd2="http://schemas.microsoft.com/office/spreadsheetml/2017/richdata2" ref="B4:J15">
    <sortCondition ref="B3:B15"/>
  </sortState>
  <tableColumns count="9">
    <tableColumn id="9" xr3:uid="{2E3AAD1B-9572-4A46-B018-877CC7B99832}" name="Item" dataDxfId="42"/>
    <tableColumn id="1" xr3:uid="{3E2F938D-3A59-47EF-8129-B9064C3C72C1}" name="Supplement" dataDxfId="41"/>
    <tableColumn id="3" xr3:uid="{7E559138-15C9-4010-A197-285C8A7E6618}" name="Supplier" dataDxfId="40"/>
    <tableColumn id="4" xr3:uid="{05980F0D-3B5D-4D72-8CB8-CC226C3711E8}" name="Quantity" dataDxfId="39"/>
    <tableColumn id="8" xr3:uid="{47FA4331-ABD2-428A-AF93-1C5B2167A875}" name="Dose" dataDxfId="38"/>
    <tableColumn id="5" xr3:uid="{27F2A595-B15F-4B63-AEE2-C70CE4E39F26}" name="Dose Amount" dataDxfId="37"/>
    <tableColumn id="10" xr3:uid="{F016A219-F9FB-4891-B8AB-C1209B504145}" name="When to take it" dataDxfId="36"/>
    <tableColumn id="18" xr3:uid="{CC885630-5756-42E6-8C49-A2FFFAED9EEA}" name="Storage" dataDxfId="35"/>
    <tableColumn id="19" xr3:uid="{F69B85FD-0A26-4D5D-B84F-89AF56D00876}" name="Cycle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2312E5-9648-4294-BA07-AACC0919AC77}" name="Table4" displayName="Table4" ref="B17:J24" totalsRowShown="0" headerRowDxfId="33" dataDxfId="32" tableBorderDxfId="31">
  <autoFilter ref="B17:J24" xr:uid="{012312E5-9648-4294-BA07-AACC0919AC77}"/>
  <sortState xmlns:xlrd2="http://schemas.microsoft.com/office/spreadsheetml/2017/richdata2" ref="B18:J24">
    <sortCondition ref="H17:H24"/>
  </sortState>
  <tableColumns count="9">
    <tableColumn id="1" xr3:uid="{F36F5109-4C2C-4B26-B0E6-E8B9EE4E1815}" name="Item" dataDxfId="30"/>
    <tableColumn id="3" xr3:uid="{F2316299-B02F-402B-B8CF-AB646C2EF2AE}" name="Supplement" dataDxfId="29"/>
    <tableColumn id="4" xr3:uid="{ADD57697-A814-467C-98F3-90233EF546E0}" name="Supplier" dataDxfId="28"/>
    <tableColumn id="5" xr3:uid="{2371F847-B65B-485D-AD26-AC13AD01E46E}" name="Quantity" dataDxfId="27"/>
    <tableColumn id="6" xr3:uid="{96D91442-A43D-4313-A06E-7E46D1670986}" name="Dose" dataDxfId="26"/>
    <tableColumn id="7" xr3:uid="{9C77212B-6A38-4271-B8A2-33F56AF7D0C0}" name="Dose Amount" dataDxfId="25"/>
    <tableColumn id="8" xr3:uid="{A2EC6EB0-E5FC-49D9-81E3-C23D05AD05A1}" name="When to take it" dataDxfId="24"/>
    <tableColumn id="9" xr3:uid="{494D1647-16D6-443E-AD7C-0FEAB5332B99}" name="Storage" dataDxfId="23"/>
    <tableColumn id="10" xr3:uid="{9B5E297E-8CD6-4747-9728-005A5432EE19}" name="Cycle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F751B3-A13C-4371-BB07-7E173E92AC9B}" name="Table13" displayName="Table13" ref="B2:F46" totalsRowShown="0" headerRowDxfId="21" headerRowBorderDxfId="20" tableBorderDxfId="19">
  <autoFilter ref="B2:F46" xr:uid="{07D527B9-287F-4843-AAE0-98755E2FDBA0}"/>
  <sortState xmlns:xlrd2="http://schemas.microsoft.com/office/spreadsheetml/2017/richdata2" ref="B3:F46">
    <sortCondition ref="D2:D46"/>
  </sortState>
  <tableColumns count="5">
    <tableColumn id="9" xr3:uid="{2C77A234-4BE7-401B-85E1-A652B5AEB4BD}" name="Item" dataDxfId="18"/>
    <tableColumn id="1" xr3:uid="{3A379E53-72D9-4EFA-AFFF-FA532D0DFEFF}" name="Supplement" dataDxfId="17"/>
    <tableColumn id="7" xr3:uid="{3E674DA3-F75A-4607-A07D-A6F558EABEF1}" name="Classification" dataDxfId="16"/>
    <tableColumn id="20" xr3:uid="{D3712FF0-26FA-4AE2-A022-FF497B32D7A0}" name="Use" dataDxfId="15"/>
    <tableColumn id="5" xr3:uid="{9C6439AD-B7BB-4A3D-8349-361FBD728303}" name="Dose Per Day" dataDxfId="1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AA9E1E-BE4B-4630-A52C-8CE9F0A6074B}" name="Table16" displayName="Table16" ref="B2:K12" totalsRowShown="0" headerRowDxfId="13" dataDxfId="11" headerRowBorderDxfId="12" tableBorderDxfId="10">
  <autoFilter ref="B2:K12" xr:uid="{07D527B9-287F-4843-AAE0-98755E2FDBA0}"/>
  <tableColumns count="10">
    <tableColumn id="9" xr3:uid="{C2BAF49C-40A0-44E3-9E8C-60E517A3E286}" name="Item" dataDxfId="9"/>
    <tableColumn id="1" xr3:uid="{270E91B1-8D17-42BF-872A-7164DCE0AFB0}" name="Supplement" dataDxfId="8"/>
    <tableColumn id="2" xr3:uid="{6E07282A-E13D-498D-A419-342EB4F3EFAE}" name="Reason" dataDxfId="7"/>
    <tableColumn id="3" xr3:uid="{E599EB9E-E8BB-4B3F-9EFD-4E153779E15B}" name="Supplier" dataDxfId="6"/>
    <tableColumn id="4" xr3:uid="{C4ADA630-6951-45A4-B2AA-D6DF33FA7A79}" name="Quantity" dataDxfId="5"/>
    <tableColumn id="8" xr3:uid="{A461BE9A-FE09-4423-A244-CC571ECDBD54}" name="Dose" dataDxfId="4"/>
    <tableColumn id="5" xr3:uid="{5816F173-CFE0-49EB-972C-EAA2DFA9F090}" name="Dose Amount" dataDxfId="3"/>
    <tableColumn id="10" xr3:uid="{4E5888F2-815A-4358-B92A-DD0F412ACD18}" name="When to take it" dataDxfId="2"/>
    <tableColumn id="18" xr3:uid="{1EA67F42-E412-47E2-8E28-6411A87BFEC3}" name="Storage" dataDxfId="1"/>
    <tableColumn id="19" xr3:uid="{8E26C6B7-03D8-4523-934D-ED3B0F59D71D}" name="Cyc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J31"/>
  <sheetViews>
    <sheetView showGridLines="0" tabSelected="1" topLeftCell="A4" zoomScale="115" zoomScaleNormal="115" workbookViewId="0">
      <selection activeCell="C23" sqref="C23"/>
    </sheetView>
  </sheetViews>
  <sheetFormatPr defaultRowHeight="15" x14ac:dyDescent="0.25"/>
  <cols>
    <col min="2" max="2" width="9.7109375" bestFit="1" customWidth="1"/>
    <col min="3" max="3" width="53.28515625" bestFit="1" customWidth="1"/>
    <col min="4" max="4" width="15.85546875" customWidth="1"/>
    <col min="5" max="5" width="15.85546875" bestFit="1" customWidth="1"/>
    <col min="6" max="6" width="13" bestFit="1" customWidth="1"/>
    <col min="7" max="7" width="54.85546875" bestFit="1" customWidth="1"/>
    <col min="8" max="8" width="18.85546875" bestFit="1" customWidth="1"/>
    <col min="9" max="9" width="17.140625" bestFit="1" customWidth="1"/>
    <col min="10" max="10" width="21.28515625" customWidth="1"/>
    <col min="11" max="11" width="12.7109375" bestFit="1" customWidth="1"/>
    <col min="12" max="12" width="15.7109375" customWidth="1"/>
    <col min="13" max="13" width="14.5703125" customWidth="1"/>
  </cols>
  <sheetData>
    <row r="3" spans="2:10" ht="15" customHeight="1" x14ac:dyDescent="0.25">
      <c r="B3" s="1" t="s">
        <v>35</v>
      </c>
      <c r="C3" s="2" t="s">
        <v>0</v>
      </c>
      <c r="D3" s="2" t="s">
        <v>33</v>
      </c>
      <c r="E3" s="2" t="s">
        <v>1</v>
      </c>
      <c r="F3" s="2" t="s">
        <v>60</v>
      </c>
      <c r="G3" s="2" t="s">
        <v>103</v>
      </c>
      <c r="H3" s="2" t="s">
        <v>59</v>
      </c>
      <c r="I3" s="2" t="s">
        <v>44</v>
      </c>
      <c r="J3" s="2" t="s">
        <v>58</v>
      </c>
    </row>
    <row r="4" spans="2:10" ht="15" customHeight="1" x14ac:dyDescent="0.25">
      <c r="B4" s="163">
        <v>1</v>
      </c>
      <c r="C4" s="20" t="s">
        <v>222</v>
      </c>
      <c r="D4" s="20" t="s">
        <v>24</v>
      </c>
      <c r="E4" s="20" t="s">
        <v>36</v>
      </c>
      <c r="F4" s="20" t="s">
        <v>37</v>
      </c>
      <c r="G4" s="20" t="s">
        <v>119</v>
      </c>
      <c r="H4" s="21" t="s">
        <v>49</v>
      </c>
      <c r="I4" s="22" t="s">
        <v>48</v>
      </c>
      <c r="J4" s="22" t="s">
        <v>45</v>
      </c>
    </row>
    <row r="5" spans="2:10" ht="15" customHeight="1" x14ac:dyDescent="0.25">
      <c r="B5" s="163">
        <f>B4+1</f>
        <v>2</v>
      </c>
      <c r="C5" s="20" t="s">
        <v>4</v>
      </c>
      <c r="D5" s="20" t="s">
        <v>24</v>
      </c>
      <c r="E5" s="20" t="s">
        <v>36</v>
      </c>
      <c r="F5" s="20" t="s">
        <v>37</v>
      </c>
      <c r="G5" s="20" t="s">
        <v>79</v>
      </c>
      <c r="H5" s="21" t="s">
        <v>49</v>
      </c>
      <c r="I5" s="22" t="s">
        <v>48</v>
      </c>
      <c r="J5" s="22" t="s">
        <v>45</v>
      </c>
    </row>
    <row r="6" spans="2:10" ht="15" customHeight="1" x14ac:dyDescent="0.25">
      <c r="B6" s="163">
        <f t="shared" ref="B6:B15" si="0">B5+1</f>
        <v>3</v>
      </c>
      <c r="C6" s="20" t="s">
        <v>15</v>
      </c>
      <c r="D6" s="20" t="s">
        <v>24</v>
      </c>
      <c r="E6" s="20" t="s">
        <v>38</v>
      </c>
      <c r="F6" s="20" t="s">
        <v>39</v>
      </c>
      <c r="G6" s="20" t="s">
        <v>104</v>
      </c>
      <c r="H6" s="21" t="s">
        <v>49</v>
      </c>
      <c r="I6" s="22" t="s">
        <v>48</v>
      </c>
      <c r="J6" s="22" t="s">
        <v>45</v>
      </c>
    </row>
    <row r="7" spans="2:10" ht="15" customHeight="1" x14ac:dyDescent="0.25">
      <c r="B7" s="163">
        <f t="shared" si="0"/>
        <v>4</v>
      </c>
      <c r="C7" s="20" t="s">
        <v>8</v>
      </c>
      <c r="D7" s="20" t="s">
        <v>24</v>
      </c>
      <c r="E7" s="20" t="s">
        <v>38</v>
      </c>
      <c r="F7" s="20" t="s">
        <v>39</v>
      </c>
      <c r="G7" s="20" t="s">
        <v>100</v>
      </c>
      <c r="H7" s="21" t="s">
        <v>49</v>
      </c>
      <c r="I7" s="22" t="s">
        <v>48</v>
      </c>
      <c r="J7" s="22" t="s">
        <v>45</v>
      </c>
    </row>
    <row r="8" spans="2:10" ht="15" customHeight="1" x14ac:dyDescent="0.25">
      <c r="B8" s="163">
        <f t="shared" si="0"/>
        <v>5</v>
      </c>
      <c r="C8" s="20" t="s">
        <v>17</v>
      </c>
      <c r="D8" s="20" t="s">
        <v>32</v>
      </c>
      <c r="E8" s="20" t="s">
        <v>36</v>
      </c>
      <c r="F8" s="20" t="s">
        <v>39</v>
      </c>
      <c r="G8" s="20" t="s">
        <v>87</v>
      </c>
      <c r="H8" s="21" t="s">
        <v>49</v>
      </c>
      <c r="I8" s="22" t="s">
        <v>47</v>
      </c>
      <c r="J8" s="22" t="s">
        <v>45</v>
      </c>
    </row>
    <row r="9" spans="2:10" ht="15" customHeight="1" x14ac:dyDescent="0.25">
      <c r="B9" s="163">
        <f t="shared" si="0"/>
        <v>6</v>
      </c>
      <c r="C9" s="23" t="s">
        <v>130</v>
      </c>
      <c r="D9" s="23"/>
      <c r="E9" s="23"/>
      <c r="F9" s="23"/>
      <c r="G9" s="23" t="s">
        <v>88</v>
      </c>
      <c r="H9" s="24"/>
      <c r="I9" s="25"/>
      <c r="J9" s="25"/>
    </row>
    <row r="10" spans="2:10" ht="15" customHeight="1" x14ac:dyDescent="0.25">
      <c r="B10" s="163">
        <f t="shared" si="0"/>
        <v>7</v>
      </c>
      <c r="C10" s="23" t="s">
        <v>93</v>
      </c>
      <c r="D10" s="23" t="s">
        <v>24</v>
      </c>
      <c r="E10" s="23" t="s">
        <v>36</v>
      </c>
      <c r="F10" s="23" t="s">
        <v>37</v>
      </c>
      <c r="G10" s="23" t="s">
        <v>99</v>
      </c>
      <c r="H10" s="24" t="s">
        <v>50</v>
      </c>
      <c r="I10" s="25" t="s">
        <v>48</v>
      </c>
      <c r="J10" s="25" t="s">
        <v>45</v>
      </c>
    </row>
    <row r="11" spans="2:10" ht="15" customHeight="1" x14ac:dyDescent="0.25">
      <c r="B11" s="163">
        <f t="shared" si="0"/>
        <v>8</v>
      </c>
      <c r="C11" s="23" t="s">
        <v>10</v>
      </c>
      <c r="D11" s="23" t="s">
        <v>24</v>
      </c>
      <c r="E11" s="23" t="s">
        <v>36</v>
      </c>
      <c r="F11" s="23" t="s">
        <v>37</v>
      </c>
      <c r="G11" s="23" t="s">
        <v>99</v>
      </c>
      <c r="H11" s="24" t="s">
        <v>50</v>
      </c>
      <c r="I11" s="25" t="s">
        <v>48</v>
      </c>
      <c r="J11" s="25" t="s">
        <v>45</v>
      </c>
    </row>
    <row r="12" spans="2:10" ht="15" customHeight="1" x14ac:dyDescent="0.25">
      <c r="B12" s="163">
        <f t="shared" si="0"/>
        <v>9</v>
      </c>
      <c r="C12" s="23" t="s">
        <v>18</v>
      </c>
      <c r="D12" s="23" t="s">
        <v>24</v>
      </c>
      <c r="E12" s="23" t="s">
        <v>38</v>
      </c>
      <c r="F12" s="23" t="s">
        <v>39</v>
      </c>
      <c r="G12" s="23" t="s">
        <v>104</v>
      </c>
      <c r="H12" s="24" t="s">
        <v>50</v>
      </c>
      <c r="I12" s="25" t="s">
        <v>48</v>
      </c>
      <c r="J12" s="25" t="s">
        <v>45</v>
      </c>
    </row>
    <row r="13" spans="2:10" ht="15" customHeight="1" x14ac:dyDescent="0.25">
      <c r="B13" s="163">
        <f t="shared" si="0"/>
        <v>10</v>
      </c>
      <c r="C13" s="23" t="s">
        <v>41</v>
      </c>
      <c r="D13" s="23" t="s">
        <v>24</v>
      </c>
      <c r="E13" s="23" t="s">
        <v>36</v>
      </c>
      <c r="F13" s="23" t="s">
        <v>40</v>
      </c>
      <c r="G13" s="23" t="s">
        <v>109</v>
      </c>
      <c r="H13" s="24" t="s">
        <v>50</v>
      </c>
      <c r="I13" s="25" t="s">
        <v>47</v>
      </c>
      <c r="J13" s="25" t="s">
        <v>45</v>
      </c>
    </row>
    <row r="14" spans="2:10" ht="15" customHeight="1" x14ac:dyDescent="0.25">
      <c r="B14" s="163">
        <f t="shared" si="0"/>
        <v>11</v>
      </c>
      <c r="C14" s="23" t="s">
        <v>111</v>
      </c>
      <c r="D14" s="23" t="s">
        <v>24</v>
      </c>
      <c r="E14" s="23" t="s">
        <v>110</v>
      </c>
      <c r="F14" s="23" t="s">
        <v>101</v>
      </c>
      <c r="G14" s="23" t="s">
        <v>120</v>
      </c>
      <c r="H14" s="24" t="s">
        <v>50</v>
      </c>
      <c r="I14" s="25" t="s">
        <v>48</v>
      </c>
      <c r="J14" s="25" t="s">
        <v>45</v>
      </c>
    </row>
    <row r="15" spans="2:10" ht="15" customHeight="1" x14ac:dyDescent="0.25">
      <c r="B15" s="163">
        <f t="shared" si="0"/>
        <v>12</v>
      </c>
      <c r="C15" s="26" t="s">
        <v>23</v>
      </c>
      <c r="D15" s="26" t="s">
        <v>24</v>
      </c>
      <c r="E15" s="26" t="s">
        <v>38</v>
      </c>
      <c r="F15" s="26" t="s">
        <v>39</v>
      </c>
      <c r="G15" s="26" t="s">
        <v>104</v>
      </c>
      <c r="H15" s="27" t="s">
        <v>51</v>
      </c>
      <c r="I15" s="28" t="s">
        <v>48</v>
      </c>
      <c r="J15" s="28" t="s">
        <v>45</v>
      </c>
    </row>
    <row r="16" spans="2:10" ht="15" customHeight="1" x14ac:dyDescent="0.25"/>
    <row r="17" spans="2:10" ht="15" customHeight="1" x14ac:dyDescent="0.25">
      <c r="B17" s="1" t="s">
        <v>35</v>
      </c>
      <c r="C17" s="2" t="s">
        <v>0</v>
      </c>
      <c r="D17" s="2" t="s">
        <v>33</v>
      </c>
      <c r="E17" s="2" t="s">
        <v>1</v>
      </c>
      <c r="F17" s="2" t="s">
        <v>60</v>
      </c>
      <c r="G17" s="2" t="s">
        <v>103</v>
      </c>
      <c r="H17" s="2" t="s">
        <v>59</v>
      </c>
      <c r="I17" s="2" t="s">
        <v>44</v>
      </c>
      <c r="J17" s="3" t="s">
        <v>58</v>
      </c>
    </row>
    <row r="18" spans="2:10" ht="15" customHeight="1" x14ac:dyDescent="0.25">
      <c r="B18" s="163">
        <v>22</v>
      </c>
      <c r="C18" s="29" t="s">
        <v>16</v>
      </c>
      <c r="D18" s="29" t="s">
        <v>24</v>
      </c>
      <c r="E18" s="29" t="s">
        <v>25</v>
      </c>
      <c r="F18" s="29" t="s">
        <v>28</v>
      </c>
      <c r="G18" s="29" t="s">
        <v>112</v>
      </c>
      <c r="H18" s="30" t="s">
        <v>102</v>
      </c>
      <c r="I18" s="31" t="s">
        <v>48</v>
      </c>
      <c r="J18" s="31" t="s">
        <v>45</v>
      </c>
    </row>
    <row r="19" spans="2:10" ht="15" customHeight="1" x14ac:dyDescent="0.25">
      <c r="B19" s="163">
        <v>23</v>
      </c>
      <c r="C19" s="29" t="s">
        <v>13</v>
      </c>
      <c r="D19" s="29" t="s">
        <v>29</v>
      </c>
      <c r="E19" s="29" t="s">
        <v>26</v>
      </c>
      <c r="F19" s="29" t="s">
        <v>28</v>
      </c>
      <c r="G19" s="29" t="s">
        <v>113</v>
      </c>
      <c r="H19" s="30" t="s">
        <v>102</v>
      </c>
      <c r="I19" s="31" t="s">
        <v>48</v>
      </c>
      <c r="J19" s="31" t="s">
        <v>45</v>
      </c>
    </row>
    <row r="20" spans="2:10" ht="15" customHeight="1" x14ac:dyDescent="0.25">
      <c r="B20" s="163">
        <v>24</v>
      </c>
      <c r="C20" s="29" t="s">
        <v>30</v>
      </c>
      <c r="D20" s="29" t="s">
        <v>29</v>
      </c>
      <c r="E20" s="29" t="s">
        <v>42</v>
      </c>
      <c r="F20" s="29" t="s">
        <v>28</v>
      </c>
      <c r="G20" s="29" t="s">
        <v>114</v>
      </c>
      <c r="H20" s="30" t="s">
        <v>102</v>
      </c>
      <c r="I20" s="31" t="s">
        <v>48</v>
      </c>
      <c r="J20" s="31" t="s">
        <v>46</v>
      </c>
    </row>
    <row r="21" spans="2:10" ht="15" customHeight="1" x14ac:dyDescent="0.25">
      <c r="B21" s="163">
        <v>25</v>
      </c>
      <c r="C21" s="29" t="s">
        <v>12</v>
      </c>
      <c r="D21" s="29" t="s">
        <v>24</v>
      </c>
      <c r="E21" s="29" t="s">
        <v>25</v>
      </c>
      <c r="F21" s="29" t="s">
        <v>31</v>
      </c>
      <c r="G21" s="29" t="s">
        <v>114</v>
      </c>
      <c r="H21" s="30" t="s">
        <v>102</v>
      </c>
      <c r="I21" s="31" t="s">
        <v>48</v>
      </c>
      <c r="J21" s="31" t="s">
        <v>46</v>
      </c>
    </row>
    <row r="22" spans="2:10" ht="15" customHeight="1" x14ac:dyDescent="0.25">
      <c r="B22" s="163">
        <v>26</v>
      </c>
      <c r="C22" s="29" t="s">
        <v>14</v>
      </c>
      <c r="D22" s="29" t="s">
        <v>29</v>
      </c>
      <c r="E22" s="29" t="s">
        <v>43</v>
      </c>
      <c r="F22" s="29" t="s">
        <v>31</v>
      </c>
      <c r="G22" s="29" t="s">
        <v>115</v>
      </c>
      <c r="H22" s="30" t="s">
        <v>102</v>
      </c>
      <c r="I22" s="31" t="s">
        <v>48</v>
      </c>
      <c r="J22" s="31" t="s">
        <v>45</v>
      </c>
    </row>
    <row r="23" spans="2:10" ht="15" customHeight="1" x14ac:dyDescent="0.25">
      <c r="B23" s="164">
        <v>27</v>
      </c>
      <c r="C23" s="32" t="s">
        <v>95</v>
      </c>
      <c r="D23" s="32" t="s">
        <v>24</v>
      </c>
      <c r="E23" s="32" t="s">
        <v>36</v>
      </c>
      <c r="F23" s="32" t="s">
        <v>37</v>
      </c>
      <c r="G23" s="32" t="s">
        <v>86</v>
      </c>
      <c r="H23" s="30" t="s">
        <v>102</v>
      </c>
      <c r="I23" s="33" t="s">
        <v>48</v>
      </c>
      <c r="J23" s="33" t="s">
        <v>45</v>
      </c>
    </row>
    <row r="24" spans="2:10" ht="15" customHeight="1" x14ac:dyDescent="0.25">
      <c r="B24" s="163">
        <v>28</v>
      </c>
      <c r="C24" s="29" t="s">
        <v>20</v>
      </c>
      <c r="D24" s="29" t="s">
        <v>24</v>
      </c>
      <c r="E24" s="29" t="s">
        <v>25</v>
      </c>
      <c r="F24" s="29" t="s">
        <v>28</v>
      </c>
      <c r="G24" s="29" t="s">
        <v>113</v>
      </c>
      <c r="H24" s="30" t="s">
        <v>51</v>
      </c>
      <c r="I24" s="31" t="s">
        <v>48</v>
      </c>
      <c r="J24" s="31" t="s">
        <v>45</v>
      </c>
    </row>
    <row r="25" spans="2:10" ht="15" customHeight="1" x14ac:dyDescent="0.25"/>
    <row r="26" spans="2:10" ht="15" customHeight="1" x14ac:dyDescent="0.25"/>
    <row r="27" spans="2:10" ht="15" customHeight="1" x14ac:dyDescent="0.25"/>
    <row r="28" spans="2:10" ht="15" customHeight="1" x14ac:dyDescent="0.25"/>
    <row r="29" spans="2:10" ht="15" customHeight="1" x14ac:dyDescent="0.25"/>
    <row r="30" spans="2:10" ht="15" customHeight="1" x14ac:dyDescent="0.25"/>
    <row r="31" spans="2:10" ht="15" customHeight="1" x14ac:dyDescent="0.25"/>
  </sheetData>
  <pageMargins left="0.25" right="0.25" top="0.75" bottom="0.75" header="0.3" footer="0.3"/>
  <pageSetup paperSize="9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FAFB-C421-494D-9D00-1F1AF40DAF83}">
  <sheetPr codeName="Sheet2"/>
  <dimension ref="B2:F65"/>
  <sheetViews>
    <sheetView showGridLines="0" zoomScale="115" zoomScaleNormal="115" workbookViewId="0">
      <selection activeCell="D16" sqref="D16"/>
    </sheetView>
  </sheetViews>
  <sheetFormatPr defaultRowHeight="15" x14ac:dyDescent="0.25"/>
  <cols>
    <col min="2" max="2" width="9.7109375" bestFit="1" customWidth="1"/>
    <col min="3" max="3" width="20.5703125" bestFit="1" customWidth="1"/>
    <col min="4" max="4" width="20.7109375" bestFit="1" customWidth="1"/>
    <col min="5" max="5" width="19.42578125" bestFit="1" customWidth="1"/>
    <col min="6" max="6" width="20.42578125" bestFit="1" customWidth="1"/>
    <col min="7" max="7" width="17.140625" bestFit="1" customWidth="1"/>
    <col min="8" max="8" width="21.28515625" customWidth="1"/>
    <col min="9" max="9" width="12.28515625" bestFit="1" customWidth="1"/>
    <col min="10" max="10" width="15.7109375" customWidth="1"/>
    <col min="11" max="11" width="14.5703125" customWidth="1"/>
  </cols>
  <sheetData>
    <row r="2" spans="2:6" ht="15" customHeight="1" x14ac:dyDescent="0.25">
      <c r="B2" s="1" t="s">
        <v>35</v>
      </c>
      <c r="C2" s="2" t="s">
        <v>0</v>
      </c>
      <c r="D2" s="34" t="s">
        <v>139</v>
      </c>
      <c r="E2" s="34" t="s">
        <v>174</v>
      </c>
      <c r="F2" s="3" t="s">
        <v>2</v>
      </c>
    </row>
    <row r="3" spans="2:6" ht="15" customHeight="1" x14ac:dyDescent="0.25">
      <c r="B3" s="36">
        <v>22</v>
      </c>
      <c r="C3" s="35" t="s">
        <v>83</v>
      </c>
      <c r="D3" s="35" t="s">
        <v>160</v>
      </c>
      <c r="E3" s="35" t="s">
        <v>159</v>
      </c>
      <c r="F3" s="37" t="s">
        <v>84</v>
      </c>
    </row>
    <row r="4" spans="2:6" ht="15" customHeight="1" x14ac:dyDescent="0.25">
      <c r="B4" s="47">
        <v>6</v>
      </c>
      <c r="C4" s="48" t="s">
        <v>21</v>
      </c>
      <c r="D4" s="48" t="s">
        <v>144</v>
      </c>
      <c r="E4" s="48" t="s">
        <v>52</v>
      </c>
      <c r="F4" s="49" t="s">
        <v>106</v>
      </c>
    </row>
    <row r="5" spans="2:6" ht="15" customHeight="1" x14ac:dyDescent="0.25">
      <c r="B5" s="47">
        <v>39</v>
      </c>
      <c r="C5" s="48" t="s">
        <v>12</v>
      </c>
      <c r="D5" s="48" t="s">
        <v>144</v>
      </c>
      <c r="E5" s="48" t="s">
        <v>170</v>
      </c>
      <c r="F5" s="49" t="s">
        <v>114</v>
      </c>
    </row>
    <row r="6" spans="2:6" ht="15" customHeight="1" x14ac:dyDescent="0.25">
      <c r="B6" s="47">
        <v>7</v>
      </c>
      <c r="C6" s="48" t="s">
        <v>15</v>
      </c>
      <c r="D6" s="48" t="s">
        <v>144</v>
      </c>
      <c r="E6" s="48" t="s">
        <v>75</v>
      </c>
      <c r="F6" s="49" t="s">
        <v>104</v>
      </c>
    </row>
    <row r="7" spans="2:6" ht="15" customHeight="1" x14ac:dyDescent="0.25">
      <c r="B7" s="47">
        <v>37</v>
      </c>
      <c r="C7" s="48" t="s">
        <v>16</v>
      </c>
      <c r="D7" s="48" t="s">
        <v>144</v>
      </c>
      <c r="E7" s="48" t="s">
        <v>169</v>
      </c>
      <c r="F7" s="49" t="s">
        <v>112</v>
      </c>
    </row>
    <row r="8" spans="2:6" ht="15" customHeight="1" x14ac:dyDescent="0.25">
      <c r="B8" s="47">
        <v>8</v>
      </c>
      <c r="C8" s="48" t="s">
        <v>8</v>
      </c>
      <c r="D8" s="48" t="s">
        <v>144</v>
      </c>
      <c r="E8" s="48" t="s">
        <v>145</v>
      </c>
      <c r="F8" s="49" t="s">
        <v>100</v>
      </c>
    </row>
    <row r="9" spans="2:6" ht="15" customHeight="1" x14ac:dyDescent="0.25">
      <c r="B9" s="47">
        <v>38</v>
      </c>
      <c r="C9" s="48" t="s">
        <v>13</v>
      </c>
      <c r="D9" s="48" t="s">
        <v>144</v>
      </c>
      <c r="E9" s="48" t="s">
        <v>175</v>
      </c>
      <c r="F9" s="49" t="s">
        <v>113</v>
      </c>
    </row>
    <row r="10" spans="2:6" ht="15" customHeight="1" x14ac:dyDescent="0.25">
      <c r="B10" s="47">
        <v>33</v>
      </c>
      <c r="C10" s="48" t="s">
        <v>68</v>
      </c>
      <c r="D10" s="48" t="s">
        <v>144</v>
      </c>
      <c r="E10" s="48" t="s">
        <v>168</v>
      </c>
      <c r="F10" s="49" t="s">
        <v>137</v>
      </c>
    </row>
    <row r="11" spans="2:6" ht="15" customHeight="1" x14ac:dyDescent="0.25">
      <c r="B11" s="47">
        <v>40</v>
      </c>
      <c r="C11" s="48" t="s">
        <v>20</v>
      </c>
      <c r="D11" s="48" t="s">
        <v>144</v>
      </c>
      <c r="E11" s="48" t="s">
        <v>56</v>
      </c>
      <c r="F11" s="49" t="s">
        <v>113</v>
      </c>
    </row>
    <row r="12" spans="2:6" ht="15" customHeight="1" x14ac:dyDescent="0.25">
      <c r="B12" s="36">
        <v>18</v>
      </c>
      <c r="C12" s="35" t="s">
        <v>130</v>
      </c>
      <c r="D12" s="35" t="s">
        <v>52</v>
      </c>
      <c r="E12" s="35" t="s">
        <v>156</v>
      </c>
      <c r="F12" s="37" t="s">
        <v>88</v>
      </c>
    </row>
    <row r="13" spans="2:6" ht="15" customHeight="1" x14ac:dyDescent="0.25">
      <c r="B13" s="36">
        <v>12</v>
      </c>
      <c r="C13" s="35" t="s">
        <v>19</v>
      </c>
      <c r="D13" s="35" t="s">
        <v>150</v>
      </c>
      <c r="E13" s="35" t="s">
        <v>52</v>
      </c>
      <c r="F13" s="37" t="s">
        <v>127</v>
      </c>
    </row>
    <row r="14" spans="2:6" ht="15" customHeight="1" x14ac:dyDescent="0.25">
      <c r="B14" s="36">
        <v>19</v>
      </c>
      <c r="C14" s="35" t="s">
        <v>10</v>
      </c>
      <c r="D14" s="35" t="s">
        <v>158</v>
      </c>
      <c r="E14" s="35" t="s">
        <v>157</v>
      </c>
      <c r="F14" s="37" t="s">
        <v>99</v>
      </c>
    </row>
    <row r="15" spans="2:6" ht="15" customHeight="1" x14ac:dyDescent="0.25">
      <c r="B15" s="36">
        <v>44</v>
      </c>
      <c r="C15" s="35" t="s">
        <v>11</v>
      </c>
      <c r="D15" s="35" t="s">
        <v>173</v>
      </c>
      <c r="E15" s="35" t="s">
        <v>172</v>
      </c>
      <c r="F15" s="37" t="s">
        <v>79</v>
      </c>
    </row>
    <row r="16" spans="2:6" ht="15" customHeight="1" x14ac:dyDescent="0.25">
      <c r="B16" s="36">
        <v>26</v>
      </c>
      <c r="C16" s="35" t="s">
        <v>41</v>
      </c>
      <c r="D16" s="35" t="s">
        <v>164</v>
      </c>
      <c r="E16" s="35" t="s">
        <v>152</v>
      </c>
      <c r="F16" s="37" t="s">
        <v>27</v>
      </c>
    </row>
    <row r="17" spans="2:6" ht="15" customHeight="1" x14ac:dyDescent="0.25">
      <c r="B17" s="55">
        <v>11</v>
      </c>
      <c r="C17" s="56" t="s">
        <v>124</v>
      </c>
      <c r="D17" s="56" t="s">
        <v>149</v>
      </c>
      <c r="E17" s="56" t="s">
        <v>148</v>
      </c>
      <c r="F17" s="57" t="s">
        <v>79</v>
      </c>
    </row>
    <row r="18" spans="2:6" ht="15" customHeight="1" x14ac:dyDescent="0.25">
      <c r="B18" s="55">
        <v>32</v>
      </c>
      <c r="C18" s="56" t="s">
        <v>9</v>
      </c>
      <c r="D18" s="56" t="s">
        <v>149</v>
      </c>
      <c r="E18" s="56" t="s">
        <v>56</v>
      </c>
      <c r="F18" s="57" t="s">
        <v>85</v>
      </c>
    </row>
    <row r="19" spans="2:6" ht="15" customHeight="1" x14ac:dyDescent="0.25">
      <c r="B19" s="41">
        <v>1</v>
      </c>
      <c r="C19" s="42" t="s">
        <v>116</v>
      </c>
      <c r="D19" s="42" t="s">
        <v>55</v>
      </c>
      <c r="E19" s="42" t="s">
        <v>140</v>
      </c>
      <c r="F19" s="43" t="s">
        <v>118</v>
      </c>
    </row>
    <row r="20" spans="2:6" ht="15" customHeight="1" x14ac:dyDescent="0.25">
      <c r="B20" s="41">
        <v>36</v>
      </c>
      <c r="C20" s="42" t="s">
        <v>5</v>
      </c>
      <c r="D20" s="42" t="s">
        <v>55</v>
      </c>
      <c r="E20" s="42" t="s">
        <v>157</v>
      </c>
      <c r="F20" s="43" t="s">
        <v>105</v>
      </c>
    </row>
    <row r="21" spans="2:6" ht="15" customHeight="1" x14ac:dyDescent="0.25">
      <c r="B21" s="41">
        <v>34</v>
      </c>
      <c r="C21" s="42" t="s">
        <v>136</v>
      </c>
      <c r="D21" s="42" t="s">
        <v>55</v>
      </c>
      <c r="E21" s="42" t="s">
        <v>141</v>
      </c>
      <c r="F21" s="43" t="s">
        <v>138</v>
      </c>
    </row>
    <row r="22" spans="2:6" ht="15" customHeight="1" x14ac:dyDescent="0.25">
      <c r="B22" s="41">
        <v>16</v>
      </c>
      <c r="C22" s="42" t="s">
        <v>129</v>
      </c>
      <c r="D22" s="42" t="s">
        <v>55</v>
      </c>
      <c r="E22" s="42" t="s">
        <v>153</v>
      </c>
      <c r="F22" s="43" t="s">
        <v>88</v>
      </c>
    </row>
    <row r="23" spans="2:6" ht="15" customHeight="1" x14ac:dyDescent="0.25">
      <c r="B23" s="41">
        <v>5</v>
      </c>
      <c r="C23" s="42" t="s">
        <v>4</v>
      </c>
      <c r="D23" s="42" t="s">
        <v>55</v>
      </c>
      <c r="E23" s="42" t="s">
        <v>175</v>
      </c>
      <c r="F23" s="43" t="s">
        <v>79</v>
      </c>
    </row>
    <row r="24" spans="2:6" ht="15" customHeight="1" x14ac:dyDescent="0.25">
      <c r="B24" s="41">
        <v>35</v>
      </c>
      <c r="C24" s="42" t="s">
        <v>3</v>
      </c>
      <c r="D24" s="42" t="s">
        <v>55</v>
      </c>
      <c r="E24" s="42" t="s">
        <v>56</v>
      </c>
      <c r="F24" s="43" t="s">
        <v>104</v>
      </c>
    </row>
    <row r="25" spans="2:6" ht="15" customHeight="1" x14ac:dyDescent="0.25">
      <c r="B25" s="36">
        <v>24</v>
      </c>
      <c r="C25" s="35" t="s">
        <v>18</v>
      </c>
      <c r="D25" s="35" t="s">
        <v>161</v>
      </c>
      <c r="E25" s="35" t="s">
        <v>75</v>
      </c>
      <c r="F25" s="37" t="s">
        <v>104</v>
      </c>
    </row>
    <row r="26" spans="2:6" ht="15" customHeight="1" x14ac:dyDescent="0.25">
      <c r="B26" s="36">
        <v>9</v>
      </c>
      <c r="C26" s="35" t="s">
        <v>17</v>
      </c>
      <c r="D26" s="35" t="s">
        <v>146</v>
      </c>
      <c r="E26" s="35" t="s">
        <v>54</v>
      </c>
      <c r="F26" s="37" t="s">
        <v>87</v>
      </c>
    </row>
    <row r="27" spans="2:6" ht="15" customHeight="1" x14ac:dyDescent="0.25">
      <c r="B27" s="36">
        <v>28</v>
      </c>
      <c r="C27" s="35" t="s">
        <v>97</v>
      </c>
      <c r="D27" s="35" t="s">
        <v>178</v>
      </c>
      <c r="E27" s="35" t="s">
        <v>175</v>
      </c>
      <c r="F27" s="37" t="s">
        <v>98</v>
      </c>
    </row>
    <row r="28" spans="2:6" ht="15" customHeight="1" x14ac:dyDescent="0.25">
      <c r="B28" s="44">
        <v>29</v>
      </c>
      <c r="C28" s="45" t="s">
        <v>133</v>
      </c>
      <c r="D28" s="45" t="s">
        <v>155</v>
      </c>
      <c r="E28" s="45" t="s">
        <v>52</v>
      </c>
      <c r="F28" s="46" t="s">
        <v>135</v>
      </c>
    </row>
    <row r="29" spans="2:6" ht="15" customHeight="1" x14ac:dyDescent="0.25">
      <c r="B29" s="44">
        <v>41</v>
      </c>
      <c r="C29" s="45" t="s">
        <v>95</v>
      </c>
      <c r="D29" s="45" t="s">
        <v>155</v>
      </c>
      <c r="E29" s="45" t="s">
        <v>170</v>
      </c>
      <c r="F29" s="46" t="s">
        <v>86</v>
      </c>
    </row>
    <row r="30" spans="2:6" ht="15" customHeight="1" x14ac:dyDescent="0.25">
      <c r="B30" s="44">
        <v>31</v>
      </c>
      <c r="C30" s="45" t="s">
        <v>23</v>
      </c>
      <c r="D30" s="45" t="s">
        <v>155</v>
      </c>
      <c r="E30" s="45" t="s">
        <v>167</v>
      </c>
      <c r="F30" s="46" t="s">
        <v>104</v>
      </c>
    </row>
    <row r="31" spans="2:6" ht="15" customHeight="1" x14ac:dyDescent="0.25">
      <c r="B31" s="44">
        <v>17</v>
      </c>
      <c r="C31" s="45" t="s">
        <v>94</v>
      </c>
      <c r="D31" s="45" t="s">
        <v>155</v>
      </c>
      <c r="E31" s="45" t="s">
        <v>154</v>
      </c>
      <c r="F31" s="46" t="s">
        <v>88</v>
      </c>
    </row>
    <row r="32" spans="2:6" ht="15" customHeight="1" x14ac:dyDescent="0.25">
      <c r="B32" s="44">
        <v>20</v>
      </c>
      <c r="C32" s="45" t="s">
        <v>93</v>
      </c>
      <c r="D32" s="45" t="s">
        <v>155</v>
      </c>
      <c r="E32" s="45" t="s">
        <v>176</v>
      </c>
      <c r="F32" s="46" t="s">
        <v>99</v>
      </c>
    </row>
    <row r="33" spans="2:6" ht="15" customHeight="1" x14ac:dyDescent="0.25">
      <c r="B33" s="44">
        <v>23</v>
      </c>
      <c r="C33" s="45" t="s">
        <v>92</v>
      </c>
      <c r="D33" s="45" t="s">
        <v>155</v>
      </c>
      <c r="E33" s="45" t="s">
        <v>176</v>
      </c>
      <c r="F33" s="46" t="s">
        <v>100</v>
      </c>
    </row>
    <row r="34" spans="2:6" ht="15" customHeight="1" x14ac:dyDescent="0.25">
      <c r="B34" s="36">
        <v>25</v>
      </c>
      <c r="C34" s="35" t="s">
        <v>22</v>
      </c>
      <c r="D34" s="35" t="s">
        <v>163</v>
      </c>
      <c r="E34" s="35" t="s">
        <v>162</v>
      </c>
      <c r="F34" s="37" t="s">
        <v>34</v>
      </c>
    </row>
    <row r="35" spans="2:6" ht="15" customHeight="1" x14ac:dyDescent="0.25">
      <c r="B35" s="50">
        <v>21</v>
      </c>
      <c r="C35" s="4" t="s">
        <v>82</v>
      </c>
      <c r="D35" s="4" t="s">
        <v>147</v>
      </c>
      <c r="E35" s="4" t="s">
        <v>148</v>
      </c>
      <c r="F35" s="51" t="s">
        <v>104</v>
      </c>
    </row>
    <row r="36" spans="2:6" ht="15" customHeight="1" x14ac:dyDescent="0.25">
      <c r="B36" s="50">
        <v>10</v>
      </c>
      <c r="C36" s="4" t="s">
        <v>125</v>
      </c>
      <c r="D36" s="4" t="s">
        <v>147</v>
      </c>
      <c r="E36" s="4" t="s">
        <v>54</v>
      </c>
      <c r="F36" s="51" t="s">
        <v>126</v>
      </c>
    </row>
    <row r="37" spans="2:6" ht="15" customHeight="1" x14ac:dyDescent="0.25">
      <c r="B37" s="52">
        <v>27</v>
      </c>
      <c r="C37" s="53" t="s">
        <v>96</v>
      </c>
      <c r="D37" s="53" t="s">
        <v>166</v>
      </c>
      <c r="E37" s="53" t="s">
        <v>165</v>
      </c>
      <c r="F37" s="54" t="s">
        <v>134</v>
      </c>
    </row>
    <row r="38" spans="2:6" ht="15" customHeight="1" x14ac:dyDescent="0.25">
      <c r="B38" s="52">
        <v>42</v>
      </c>
      <c r="C38" s="53" t="s">
        <v>14</v>
      </c>
      <c r="D38" s="53" t="s">
        <v>166</v>
      </c>
      <c r="E38" s="53" t="s">
        <v>175</v>
      </c>
      <c r="F38" s="54" t="s">
        <v>115</v>
      </c>
    </row>
    <row r="39" spans="2:6" ht="15" customHeight="1" x14ac:dyDescent="0.25">
      <c r="B39" s="36">
        <v>43</v>
      </c>
      <c r="C39" s="35" t="s">
        <v>30</v>
      </c>
      <c r="D39" s="35" t="s">
        <v>171</v>
      </c>
      <c r="E39" s="35" t="s">
        <v>53</v>
      </c>
      <c r="F39" s="37" t="s">
        <v>114</v>
      </c>
    </row>
    <row r="40" spans="2:6" ht="15" customHeight="1" x14ac:dyDescent="0.25">
      <c r="B40" s="38">
        <v>14</v>
      </c>
      <c r="C40" s="39" t="s">
        <v>81</v>
      </c>
      <c r="D40" s="39" t="s">
        <v>57</v>
      </c>
      <c r="E40" s="39" t="s">
        <v>140</v>
      </c>
      <c r="F40" s="40" t="s">
        <v>131</v>
      </c>
    </row>
    <row r="41" spans="2:6" ht="15" customHeight="1" x14ac:dyDescent="0.25">
      <c r="B41" s="38">
        <v>3</v>
      </c>
      <c r="C41" s="39" t="s">
        <v>122</v>
      </c>
      <c r="D41" s="39" t="s">
        <v>57</v>
      </c>
      <c r="E41" s="39" t="s">
        <v>142</v>
      </c>
      <c r="F41" s="40" t="s">
        <v>117</v>
      </c>
    </row>
    <row r="42" spans="2:6" x14ac:dyDescent="0.25">
      <c r="B42" s="38">
        <v>4</v>
      </c>
      <c r="C42" s="39" t="s">
        <v>123</v>
      </c>
      <c r="D42" s="39" t="s">
        <v>57</v>
      </c>
      <c r="E42" s="39" t="s">
        <v>143</v>
      </c>
      <c r="F42" s="40" t="s">
        <v>107</v>
      </c>
    </row>
    <row r="43" spans="2:6" x14ac:dyDescent="0.25">
      <c r="B43" s="38">
        <v>2</v>
      </c>
      <c r="C43" s="39" t="s">
        <v>121</v>
      </c>
      <c r="D43" s="39" t="s">
        <v>57</v>
      </c>
      <c r="E43" s="39" t="s">
        <v>141</v>
      </c>
      <c r="F43" s="40" t="s">
        <v>88</v>
      </c>
    </row>
    <row r="44" spans="2:6" x14ac:dyDescent="0.25">
      <c r="B44" s="38">
        <v>15</v>
      </c>
      <c r="C44" s="39" t="s">
        <v>128</v>
      </c>
      <c r="D44" s="39" t="s">
        <v>57</v>
      </c>
      <c r="E44" s="39" t="s">
        <v>152</v>
      </c>
      <c r="F44" s="40" t="s">
        <v>132</v>
      </c>
    </row>
    <row r="45" spans="2:6" x14ac:dyDescent="0.25">
      <c r="B45" s="38">
        <v>30</v>
      </c>
      <c r="C45" s="39" t="s">
        <v>7</v>
      </c>
      <c r="D45" s="39" t="s">
        <v>57</v>
      </c>
      <c r="E45" s="39" t="s">
        <v>153</v>
      </c>
      <c r="F45" s="40" t="s">
        <v>99</v>
      </c>
    </row>
    <row r="46" spans="2:6" x14ac:dyDescent="0.25">
      <c r="B46" s="58">
        <v>13</v>
      </c>
      <c r="C46" s="59" t="s">
        <v>6</v>
      </c>
      <c r="D46" s="59" t="s">
        <v>57</v>
      </c>
      <c r="E46" s="59" t="s">
        <v>151</v>
      </c>
      <c r="F46" s="60" t="s">
        <v>177</v>
      </c>
    </row>
    <row r="47" spans="2:6" x14ac:dyDescent="0.25">
      <c r="F47" s="15"/>
    </row>
    <row r="48" spans="2:6" x14ac:dyDescent="0.25">
      <c r="F48" s="15"/>
    </row>
    <row r="49" spans="6:6" x14ac:dyDescent="0.25">
      <c r="F49" s="15"/>
    </row>
    <row r="54" spans="6:6" x14ac:dyDescent="0.25">
      <c r="F54" s="14"/>
    </row>
    <row r="55" spans="6:6" x14ac:dyDescent="0.25">
      <c r="F55" s="15"/>
    </row>
    <row r="56" spans="6:6" x14ac:dyDescent="0.25">
      <c r="F56" s="15"/>
    </row>
    <row r="57" spans="6:6" x14ac:dyDescent="0.25">
      <c r="F57" s="15"/>
    </row>
    <row r="58" spans="6:6" x14ac:dyDescent="0.25">
      <c r="F58" s="15"/>
    </row>
    <row r="59" spans="6:6" x14ac:dyDescent="0.25">
      <c r="F59" s="15"/>
    </row>
    <row r="60" spans="6:6" x14ac:dyDescent="0.25">
      <c r="F60" s="15"/>
    </row>
    <row r="61" spans="6:6" x14ac:dyDescent="0.25">
      <c r="F61" s="15"/>
    </row>
    <row r="62" spans="6:6" x14ac:dyDescent="0.25">
      <c r="F62" s="15"/>
    </row>
    <row r="63" spans="6:6" x14ac:dyDescent="0.25">
      <c r="F63" s="15"/>
    </row>
    <row r="64" spans="6:6" x14ac:dyDescent="0.25">
      <c r="F64" s="15"/>
    </row>
    <row r="65" spans="6:6" x14ac:dyDescent="0.25">
      <c r="F65" s="15"/>
    </row>
  </sheetData>
  <pageMargins left="0.25" right="0.25" top="0.75" bottom="0.75" header="0.3" footer="0.3"/>
  <pageSetup paperSize="9" orientation="landscape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DCF8-57FB-4612-95F0-AA263156984D}">
  <dimension ref="B1:F41"/>
  <sheetViews>
    <sheetView showGridLines="0" zoomScale="73" zoomScaleNormal="115" workbookViewId="0">
      <selection activeCell="C40" sqref="C40"/>
    </sheetView>
  </sheetViews>
  <sheetFormatPr defaultRowHeight="15" x14ac:dyDescent="0.25"/>
  <cols>
    <col min="2" max="2" width="15.85546875" bestFit="1" customWidth="1"/>
    <col min="3" max="3" width="62.140625" bestFit="1" customWidth="1"/>
    <col min="4" max="4" width="18.7109375" bestFit="1" customWidth="1"/>
    <col min="5" max="5" width="58.42578125" style="65" bestFit="1" customWidth="1"/>
    <col min="6" max="6" width="22.140625" style="65" bestFit="1" customWidth="1"/>
    <col min="7" max="7" width="46.5703125" bestFit="1" customWidth="1"/>
    <col min="8" max="8" width="18.85546875" bestFit="1" customWidth="1"/>
    <col min="9" max="9" width="17.140625" bestFit="1" customWidth="1"/>
    <col min="10" max="10" width="21.28515625" customWidth="1"/>
    <col min="11" max="11" width="12.7109375" bestFit="1" customWidth="1"/>
    <col min="12" max="12" width="15.7109375" customWidth="1"/>
    <col min="13" max="13" width="14.5703125" customWidth="1"/>
  </cols>
  <sheetData>
    <row r="1" spans="2:6" ht="15.75" thickBot="1" x14ac:dyDescent="0.3"/>
    <row r="2" spans="2:6" ht="15" customHeight="1" x14ac:dyDescent="0.25">
      <c r="B2" s="61" t="s">
        <v>184</v>
      </c>
      <c r="C2" s="62" t="s">
        <v>190</v>
      </c>
      <c r="D2" s="62" t="s">
        <v>182</v>
      </c>
      <c r="E2" s="62" t="s">
        <v>180</v>
      </c>
      <c r="F2" s="63" t="s">
        <v>197</v>
      </c>
    </row>
    <row r="3" spans="2:6" ht="15" customHeight="1" x14ac:dyDescent="0.25">
      <c r="B3" s="129">
        <v>1</v>
      </c>
      <c r="C3" s="23" t="s">
        <v>185</v>
      </c>
      <c r="D3" s="23" t="s">
        <v>118</v>
      </c>
      <c r="E3" s="130">
        <v>1</v>
      </c>
      <c r="F3" s="131">
        <v>60</v>
      </c>
    </row>
    <row r="4" spans="2:6" ht="15" customHeight="1" x14ac:dyDescent="0.25">
      <c r="B4" s="129"/>
      <c r="C4" s="23" t="s">
        <v>186</v>
      </c>
      <c r="D4" s="23" t="s">
        <v>88</v>
      </c>
      <c r="E4" s="130"/>
      <c r="F4" s="131"/>
    </row>
    <row r="5" spans="2:6" ht="15" customHeight="1" x14ac:dyDescent="0.25">
      <c r="B5" s="129"/>
      <c r="C5" s="23" t="s">
        <v>183</v>
      </c>
      <c r="D5" s="23" t="s">
        <v>117</v>
      </c>
      <c r="E5" s="130"/>
      <c r="F5" s="131"/>
    </row>
    <row r="6" spans="2:6" ht="15" customHeight="1" x14ac:dyDescent="0.25">
      <c r="B6" s="129"/>
      <c r="C6" s="23" t="s">
        <v>187</v>
      </c>
      <c r="D6" s="23" t="s">
        <v>107</v>
      </c>
      <c r="E6" s="130"/>
      <c r="F6" s="131"/>
    </row>
    <row r="7" spans="2:6" ht="15" customHeight="1" x14ac:dyDescent="0.25">
      <c r="B7" s="129"/>
      <c r="C7" s="23" t="s">
        <v>188</v>
      </c>
      <c r="D7" s="23" t="s">
        <v>137</v>
      </c>
      <c r="E7" s="130"/>
      <c r="F7" s="131"/>
    </row>
    <row r="8" spans="2:6" x14ac:dyDescent="0.25">
      <c r="B8" s="132">
        <v>2</v>
      </c>
      <c r="C8" s="66" t="s">
        <v>125</v>
      </c>
      <c r="D8" s="66" t="s">
        <v>87</v>
      </c>
      <c r="E8" s="133">
        <v>2</v>
      </c>
      <c r="F8" s="134">
        <v>120</v>
      </c>
    </row>
    <row r="9" spans="2:6" x14ac:dyDescent="0.25">
      <c r="B9" s="132"/>
      <c r="C9" s="66" t="s">
        <v>202</v>
      </c>
      <c r="D9" s="66" t="s">
        <v>189</v>
      </c>
      <c r="E9" s="133"/>
      <c r="F9" s="134"/>
    </row>
    <row r="10" spans="2:6" x14ac:dyDescent="0.25">
      <c r="B10" s="132"/>
      <c r="C10" s="66" t="s">
        <v>203</v>
      </c>
      <c r="D10" s="66" t="s">
        <v>127</v>
      </c>
      <c r="E10" s="133"/>
      <c r="F10" s="134"/>
    </row>
    <row r="11" spans="2:6" x14ac:dyDescent="0.25">
      <c r="B11" s="123">
        <v>3</v>
      </c>
      <c r="C11" s="67" t="s">
        <v>191</v>
      </c>
      <c r="D11" s="67" t="s">
        <v>177</v>
      </c>
      <c r="E11" s="124">
        <v>1</v>
      </c>
      <c r="F11" s="125">
        <v>60</v>
      </c>
    </row>
    <row r="12" spans="2:6" x14ac:dyDescent="0.25">
      <c r="B12" s="123"/>
      <c r="C12" s="67" t="s">
        <v>192</v>
      </c>
      <c r="D12" s="67" t="s">
        <v>196</v>
      </c>
      <c r="E12" s="124"/>
      <c r="F12" s="125"/>
    </row>
    <row r="13" spans="2:6" x14ac:dyDescent="0.25">
      <c r="B13" s="123"/>
      <c r="C13" s="67" t="s">
        <v>193</v>
      </c>
      <c r="D13" s="67" t="s">
        <v>194</v>
      </c>
      <c r="E13" s="124"/>
      <c r="F13" s="125"/>
    </row>
    <row r="14" spans="2:6" x14ac:dyDescent="0.25">
      <c r="B14" s="123"/>
      <c r="C14" s="67" t="s">
        <v>200</v>
      </c>
      <c r="D14" s="67" t="s">
        <v>195</v>
      </c>
      <c r="E14" s="124"/>
      <c r="F14" s="125"/>
    </row>
    <row r="15" spans="2:6" x14ac:dyDescent="0.25">
      <c r="B15" s="123"/>
      <c r="C15" s="67" t="s">
        <v>201</v>
      </c>
      <c r="D15" s="67" t="s">
        <v>88</v>
      </c>
      <c r="E15" s="124"/>
      <c r="F15" s="125"/>
    </row>
    <row r="16" spans="2:6" x14ac:dyDescent="0.25">
      <c r="B16" s="123"/>
      <c r="C16" s="67" t="s">
        <v>94</v>
      </c>
      <c r="D16" s="67" t="s">
        <v>88</v>
      </c>
      <c r="E16" s="124"/>
      <c r="F16" s="125"/>
    </row>
    <row r="17" spans="2:6" x14ac:dyDescent="0.25">
      <c r="B17" s="126">
        <v>4</v>
      </c>
      <c r="C17" s="20" t="s">
        <v>204</v>
      </c>
      <c r="D17" s="20" t="s">
        <v>99</v>
      </c>
      <c r="E17" s="127">
        <v>2</v>
      </c>
      <c r="F17" s="128">
        <v>120</v>
      </c>
    </row>
    <row r="18" spans="2:6" x14ac:dyDescent="0.25">
      <c r="B18" s="126"/>
      <c r="C18" s="20" t="s">
        <v>93</v>
      </c>
      <c r="D18" s="20" t="s">
        <v>99</v>
      </c>
      <c r="E18" s="127"/>
      <c r="F18" s="128"/>
    </row>
    <row r="19" spans="2:6" x14ac:dyDescent="0.25">
      <c r="B19" s="117">
        <v>5</v>
      </c>
      <c r="C19" s="29" t="s">
        <v>198</v>
      </c>
      <c r="D19" s="29" t="s">
        <v>114</v>
      </c>
      <c r="E19" s="118" t="s">
        <v>181</v>
      </c>
      <c r="F19" s="119">
        <v>60</v>
      </c>
    </row>
    <row r="20" spans="2:6" x14ac:dyDescent="0.25">
      <c r="B20" s="117"/>
      <c r="C20" s="29" t="s">
        <v>205</v>
      </c>
      <c r="D20" s="29" t="s">
        <v>98</v>
      </c>
      <c r="E20" s="118"/>
      <c r="F20" s="119"/>
    </row>
    <row r="21" spans="2:6" x14ac:dyDescent="0.25">
      <c r="B21" s="117"/>
      <c r="C21" s="29" t="s">
        <v>199</v>
      </c>
      <c r="D21" s="29" t="s">
        <v>135</v>
      </c>
      <c r="E21" s="118"/>
      <c r="F21" s="119"/>
    </row>
    <row r="22" spans="2:6" x14ac:dyDescent="0.25">
      <c r="B22" s="120">
        <v>6</v>
      </c>
      <c r="C22" s="68" t="s">
        <v>207</v>
      </c>
      <c r="D22" s="68" t="s">
        <v>85</v>
      </c>
      <c r="E22" s="121">
        <v>1</v>
      </c>
      <c r="F22" s="122">
        <v>60</v>
      </c>
    </row>
    <row r="23" spans="2:6" x14ac:dyDescent="0.25">
      <c r="B23" s="120"/>
      <c r="C23" s="68" t="s">
        <v>208</v>
      </c>
      <c r="D23" s="68" t="s">
        <v>195</v>
      </c>
      <c r="E23" s="121"/>
      <c r="F23" s="122"/>
    </row>
    <row r="24" spans="2:6" x14ac:dyDescent="0.25">
      <c r="B24" s="120"/>
      <c r="C24" s="68" t="s">
        <v>136</v>
      </c>
      <c r="D24" s="68" t="s">
        <v>138</v>
      </c>
      <c r="E24" s="121"/>
      <c r="F24" s="122"/>
    </row>
    <row r="25" spans="2:6" x14ac:dyDescent="0.25">
      <c r="B25" s="114">
        <v>7</v>
      </c>
      <c r="C25" s="53" t="s">
        <v>82</v>
      </c>
      <c r="D25" s="53" t="s">
        <v>104</v>
      </c>
      <c r="E25" s="115">
        <v>2</v>
      </c>
      <c r="F25" s="116">
        <v>120</v>
      </c>
    </row>
    <row r="26" spans="2:6" x14ac:dyDescent="0.25">
      <c r="B26" s="114"/>
      <c r="C26" s="53" t="s">
        <v>83</v>
      </c>
      <c r="D26" s="53" t="s">
        <v>84</v>
      </c>
      <c r="E26" s="115"/>
      <c r="F26" s="116"/>
    </row>
    <row r="27" spans="2:6" x14ac:dyDescent="0.25">
      <c r="B27" s="69">
        <v>8</v>
      </c>
      <c r="C27" s="70" t="s">
        <v>209</v>
      </c>
      <c r="D27" s="70" t="s">
        <v>99</v>
      </c>
      <c r="E27" s="81">
        <v>1</v>
      </c>
      <c r="F27" s="98">
        <v>60</v>
      </c>
    </row>
    <row r="28" spans="2:6" x14ac:dyDescent="0.25">
      <c r="B28" s="72">
        <v>9</v>
      </c>
      <c r="C28" s="73" t="s">
        <v>179</v>
      </c>
      <c r="D28" s="73" t="s">
        <v>104</v>
      </c>
      <c r="E28" s="74">
        <v>2</v>
      </c>
      <c r="F28" s="99">
        <v>120</v>
      </c>
    </row>
    <row r="29" spans="2:6" x14ac:dyDescent="0.25">
      <c r="B29" s="75">
        <v>10</v>
      </c>
      <c r="C29" s="76" t="s">
        <v>210</v>
      </c>
      <c r="D29" s="76" t="s">
        <v>109</v>
      </c>
      <c r="E29" s="82">
        <v>3</v>
      </c>
      <c r="F29" s="100">
        <v>180</v>
      </c>
    </row>
    <row r="30" spans="2:6" x14ac:dyDescent="0.25">
      <c r="B30" s="101">
        <v>11</v>
      </c>
      <c r="C30" s="89" t="s">
        <v>206</v>
      </c>
      <c r="D30" s="89" t="s">
        <v>86</v>
      </c>
      <c r="E30" s="90">
        <v>1</v>
      </c>
      <c r="F30" s="102">
        <v>60</v>
      </c>
    </row>
    <row r="31" spans="2:6" x14ac:dyDescent="0.25">
      <c r="B31" s="103">
        <v>12</v>
      </c>
      <c r="C31" s="56" t="s">
        <v>215</v>
      </c>
      <c r="D31" s="56" t="s">
        <v>79</v>
      </c>
      <c r="E31" s="91">
        <v>1</v>
      </c>
      <c r="F31" s="104">
        <v>60</v>
      </c>
    </row>
    <row r="32" spans="2:6" x14ac:dyDescent="0.25">
      <c r="B32" s="83">
        <v>13</v>
      </c>
      <c r="C32" s="4" t="s">
        <v>214</v>
      </c>
      <c r="D32" s="4" t="s">
        <v>104</v>
      </c>
      <c r="E32" s="92">
        <v>2</v>
      </c>
      <c r="F32" s="105">
        <v>120</v>
      </c>
    </row>
    <row r="33" spans="2:6" x14ac:dyDescent="0.25">
      <c r="B33" s="64">
        <f>B32+1</f>
        <v>14</v>
      </c>
      <c r="C33" s="45" t="s">
        <v>8</v>
      </c>
      <c r="D33" s="45" t="s">
        <v>100</v>
      </c>
      <c r="E33" s="93">
        <v>2</v>
      </c>
      <c r="F33" s="106">
        <v>120</v>
      </c>
    </row>
    <row r="34" spans="2:6" x14ac:dyDescent="0.25">
      <c r="B34" s="84">
        <f t="shared" ref="B34:B41" si="0">B33+1</f>
        <v>15</v>
      </c>
      <c r="C34" s="39" t="s">
        <v>17</v>
      </c>
      <c r="D34" s="39" t="s">
        <v>87</v>
      </c>
      <c r="E34" s="94">
        <v>1</v>
      </c>
      <c r="F34" s="107">
        <v>60</v>
      </c>
    </row>
    <row r="35" spans="2:6" x14ac:dyDescent="0.25">
      <c r="B35" s="85">
        <f t="shared" si="0"/>
        <v>16</v>
      </c>
      <c r="C35" s="48" t="s">
        <v>92</v>
      </c>
      <c r="D35" s="48" t="s">
        <v>100</v>
      </c>
      <c r="E35" s="95">
        <v>2</v>
      </c>
      <c r="F35" s="108">
        <v>120</v>
      </c>
    </row>
    <row r="36" spans="2:6" x14ac:dyDescent="0.25">
      <c r="B36" s="86">
        <f t="shared" si="0"/>
        <v>17</v>
      </c>
      <c r="C36" s="42" t="s">
        <v>23</v>
      </c>
      <c r="D36" s="42" t="s">
        <v>104</v>
      </c>
      <c r="E36" s="96">
        <v>2</v>
      </c>
      <c r="F36" s="109">
        <v>120</v>
      </c>
    </row>
    <row r="37" spans="2:6" x14ac:dyDescent="0.25">
      <c r="B37" s="87">
        <f t="shared" si="0"/>
        <v>18</v>
      </c>
      <c r="C37" s="53" t="s">
        <v>216</v>
      </c>
      <c r="D37" s="53" t="s">
        <v>104</v>
      </c>
      <c r="E37" s="88">
        <v>2</v>
      </c>
      <c r="F37" s="97">
        <v>120</v>
      </c>
    </row>
    <row r="38" spans="2:6" x14ac:dyDescent="0.25">
      <c r="B38" s="83">
        <f t="shared" si="0"/>
        <v>19</v>
      </c>
      <c r="C38" s="4" t="s">
        <v>217</v>
      </c>
      <c r="D38" s="4" t="s">
        <v>104</v>
      </c>
      <c r="E38" s="92">
        <v>2</v>
      </c>
      <c r="F38" s="105">
        <v>120</v>
      </c>
    </row>
    <row r="39" spans="2:6" x14ac:dyDescent="0.25">
      <c r="B39" s="84">
        <f t="shared" si="0"/>
        <v>20</v>
      </c>
      <c r="C39" s="39" t="s">
        <v>218</v>
      </c>
      <c r="D39" s="39" t="s">
        <v>112</v>
      </c>
      <c r="E39" s="94" t="s">
        <v>211</v>
      </c>
      <c r="F39" s="107" t="s">
        <v>213</v>
      </c>
    </row>
    <row r="40" spans="2:6" x14ac:dyDescent="0.25">
      <c r="B40" s="87">
        <f t="shared" si="0"/>
        <v>21</v>
      </c>
      <c r="C40" s="53" t="s">
        <v>220</v>
      </c>
      <c r="D40" s="53" t="s">
        <v>113</v>
      </c>
      <c r="E40" s="88" t="s">
        <v>212</v>
      </c>
      <c r="F40" s="97" t="s">
        <v>213</v>
      </c>
    </row>
    <row r="41" spans="2:6" ht="15.75" thickBot="1" x14ac:dyDescent="0.3">
      <c r="B41" s="110">
        <f t="shared" si="0"/>
        <v>22</v>
      </c>
      <c r="C41" s="111" t="s">
        <v>219</v>
      </c>
      <c r="D41" s="111" t="s">
        <v>114</v>
      </c>
      <c r="E41" s="112" t="s">
        <v>212</v>
      </c>
      <c r="F41" s="113" t="s">
        <v>213</v>
      </c>
    </row>
  </sheetData>
  <mergeCells count="21">
    <mergeCell ref="B3:B7"/>
    <mergeCell ref="E3:E7"/>
    <mergeCell ref="F3:F7"/>
    <mergeCell ref="B8:B10"/>
    <mergeCell ref="E8:E10"/>
    <mergeCell ref="F8:F10"/>
    <mergeCell ref="B11:B16"/>
    <mergeCell ref="E11:E16"/>
    <mergeCell ref="F11:F16"/>
    <mergeCell ref="B17:B18"/>
    <mergeCell ref="E17:E18"/>
    <mergeCell ref="F17:F18"/>
    <mergeCell ref="B25:B26"/>
    <mergeCell ref="E25:E26"/>
    <mergeCell ref="F25:F26"/>
    <mergeCell ref="B19:B21"/>
    <mergeCell ref="E19:E21"/>
    <mergeCell ref="F19:F21"/>
    <mergeCell ref="B22:B24"/>
    <mergeCell ref="E22:E24"/>
    <mergeCell ref="F22:F24"/>
  </mergeCells>
  <pageMargins left="0.25" right="0.25" top="0.75" bottom="0.75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CD1A-6B10-4155-9B6C-506688EC8F67}">
  <dimension ref="B1:F25"/>
  <sheetViews>
    <sheetView showGridLines="0" topLeftCell="A4" zoomScale="91" zoomScaleNormal="115" workbookViewId="0">
      <selection activeCell="F19" sqref="F19:F21"/>
    </sheetView>
  </sheetViews>
  <sheetFormatPr defaultRowHeight="15" x14ac:dyDescent="0.25"/>
  <cols>
    <col min="2" max="2" width="15.85546875" bestFit="1" customWidth="1"/>
    <col min="3" max="3" width="36.140625" bestFit="1" customWidth="1"/>
    <col min="4" max="4" width="18.7109375" bestFit="1" customWidth="1"/>
    <col min="5" max="5" width="17.5703125" style="65" bestFit="1" customWidth="1"/>
    <col min="6" max="6" width="20.7109375" style="65" bestFit="1" customWidth="1"/>
    <col min="7" max="7" width="46.5703125" bestFit="1" customWidth="1"/>
    <col min="8" max="8" width="18.85546875" bestFit="1" customWidth="1"/>
    <col min="9" max="9" width="17.140625" bestFit="1" customWidth="1"/>
    <col min="10" max="10" width="21.28515625" customWidth="1"/>
    <col min="11" max="11" width="12.7109375" bestFit="1" customWidth="1"/>
    <col min="12" max="12" width="15.7109375" customWidth="1"/>
    <col min="13" max="13" width="14.5703125" customWidth="1"/>
  </cols>
  <sheetData>
    <row r="1" spans="2:6" ht="15.75" thickBot="1" x14ac:dyDescent="0.3"/>
    <row r="2" spans="2:6" ht="15" customHeight="1" x14ac:dyDescent="0.25">
      <c r="B2" s="61" t="s">
        <v>184</v>
      </c>
      <c r="C2" s="62" t="s">
        <v>190</v>
      </c>
      <c r="D2" s="62" t="s">
        <v>182</v>
      </c>
      <c r="E2" s="62" t="s">
        <v>180</v>
      </c>
      <c r="F2" s="62" t="s">
        <v>197</v>
      </c>
    </row>
    <row r="3" spans="2:6" ht="15" customHeight="1" x14ac:dyDescent="0.25">
      <c r="B3" s="145">
        <v>1</v>
      </c>
      <c r="C3" s="23" t="s">
        <v>185</v>
      </c>
      <c r="D3" s="23" t="s">
        <v>118</v>
      </c>
      <c r="E3" s="151">
        <v>1</v>
      </c>
      <c r="F3" s="151">
        <v>30</v>
      </c>
    </row>
    <row r="4" spans="2:6" ht="15" customHeight="1" x14ac:dyDescent="0.25">
      <c r="B4" s="146"/>
      <c r="C4" s="23" t="s">
        <v>186</v>
      </c>
      <c r="D4" s="23" t="s">
        <v>88</v>
      </c>
      <c r="E4" s="152"/>
      <c r="F4" s="152"/>
    </row>
    <row r="5" spans="2:6" ht="15" customHeight="1" x14ac:dyDescent="0.25">
      <c r="B5" s="146"/>
      <c r="C5" s="23" t="s">
        <v>183</v>
      </c>
      <c r="D5" s="23" t="s">
        <v>117</v>
      </c>
      <c r="E5" s="152"/>
      <c r="F5" s="152"/>
    </row>
    <row r="6" spans="2:6" ht="15" customHeight="1" x14ac:dyDescent="0.25">
      <c r="B6" s="146"/>
      <c r="C6" s="23" t="s">
        <v>187</v>
      </c>
      <c r="D6" s="23" t="s">
        <v>107</v>
      </c>
      <c r="E6" s="152"/>
      <c r="F6" s="152"/>
    </row>
    <row r="7" spans="2:6" ht="15" customHeight="1" x14ac:dyDescent="0.25">
      <c r="B7" s="147"/>
      <c r="C7" s="23" t="s">
        <v>188</v>
      </c>
      <c r="D7" s="23" t="s">
        <v>137</v>
      </c>
      <c r="E7" s="153"/>
      <c r="F7" s="153"/>
    </row>
    <row r="8" spans="2:6" x14ac:dyDescent="0.25">
      <c r="B8" s="148">
        <v>2</v>
      </c>
      <c r="C8" s="66" t="s">
        <v>125</v>
      </c>
      <c r="D8" s="66" t="s">
        <v>87</v>
      </c>
      <c r="E8" s="157">
        <v>2</v>
      </c>
      <c r="F8" s="157">
        <v>60</v>
      </c>
    </row>
    <row r="9" spans="2:6" x14ac:dyDescent="0.25">
      <c r="B9" s="149"/>
      <c r="C9" s="66" t="s">
        <v>202</v>
      </c>
      <c r="D9" s="66" t="s">
        <v>189</v>
      </c>
      <c r="E9" s="158"/>
      <c r="F9" s="158"/>
    </row>
    <row r="10" spans="2:6" x14ac:dyDescent="0.25">
      <c r="B10" s="150"/>
      <c r="C10" s="66" t="s">
        <v>203</v>
      </c>
      <c r="D10" s="66" t="s">
        <v>127</v>
      </c>
      <c r="E10" s="159"/>
      <c r="F10" s="159"/>
    </row>
    <row r="11" spans="2:6" x14ac:dyDescent="0.25">
      <c r="B11" s="154">
        <v>3</v>
      </c>
      <c r="C11" s="67" t="s">
        <v>191</v>
      </c>
      <c r="D11" s="67" t="s">
        <v>177</v>
      </c>
      <c r="E11" s="160">
        <v>1</v>
      </c>
      <c r="F11" s="160">
        <v>30</v>
      </c>
    </row>
    <row r="12" spans="2:6" x14ac:dyDescent="0.25">
      <c r="B12" s="155"/>
      <c r="C12" s="67" t="s">
        <v>192</v>
      </c>
      <c r="D12" s="67" t="s">
        <v>196</v>
      </c>
      <c r="E12" s="161"/>
      <c r="F12" s="161"/>
    </row>
    <row r="13" spans="2:6" x14ac:dyDescent="0.25">
      <c r="B13" s="155"/>
      <c r="C13" s="67" t="s">
        <v>193</v>
      </c>
      <c r="D13" s="67" t="s">
        <v>194</v>
      </c>
      <c r="E13" s="161"/>
      <c r="F13" s="161"/>
    </row>
    <row r="14" spans="2:6" x14ac:dyDescent="0.25">
      <c r="B14" s="155"/>
      <c r="C14" s="67" t="s">
        <v>200</v>
      </c>
      <c r="D14" s="67" t="s">
        <v>195</v>
      </c>
      <c r="E14" s="161"/>
      <c r="F14" s="161"/>
    </row>
    <row r="15" spans="2:6" x14ac:dyDescent="0.25">
      <c r="B15" s="155"/>
      <c r="C15" s="67" t="s">
        <v>221</v>
      </c>
      <c r="D15" s="67" t="s">
        <v>88</v>
      </c>
      <c r="E15" s="161"/>
      <c r="F15" s="161"/>
    </row>
    <row r="16" spans="2:6" x14ac:dyDescent="0.25">
      <c r="B16" s="156"/>
      <c r="C16" s="67" t="s">
        <v>94</v>
      </c>
      <c r="D16" s="67" t="s">
        <v>88</v>
      </c>
      <c r="E16" s="162"/>
      <c r="F16" s="162"/>
    </row>
    <row r="17" spans="2:6" x14ac:dyDescent="0.25">
      <c r="B17" s="137">
        <v>4</v>
      </c>
      <c r="C17" s="20" t="s">
        <v>204</v>
      </c>
      <c r="D17" s="20" t="s">
        <v>99</v>
      </c>
      <c r="E17" s="135">
        <v>2</v>
      </c>
      <c r="F17" s="135">
        <v>60</v>
      </c>
    </row>
    <row r="18" spans="2:6" x14ac:dyDescent="0.25">
      <c r="B18" s="138"/>
      <c r="C18" s="20" t="s">
        <v>93</v>
      </c>
      <c r="D18" s="20" t="s">
        <v>99</v>
      </c>
      <c r="E18" s="136"/>
      <c r="F18" s="136"/>
    </row>
    <row r="19" spans="2:6" x14ac:dyDescent="0.25">
      <c r="B19" s="139">
        <v>5</v>
      </c>
      <c r="C19" s="68" t="s">
        <v>207</v>
      </c>
      <c r="D19" s="68" t="s">
        <v>85</v>
      </c>
      <c r="E19" s="142">
        <v>1</v>
      </c>
      <c r="F19" s="142">
        <v>30</v>
      </c>
    </row>
    <row r="20" spans="2:6" x14ac:dyDescent="0.25">
      <c r="B20" s="140"/>
      <c r="C20" s="68" t="s">
        <v>208</v>
      </c>
      <c r="D20" s="68" t="s">
        <v>195</v>
      </c>
      <c r="E20" s="143"/>
      <c r="F20" s="143"/>
    </row>
    <row r="21" spans="2:6" x14ac:dyDescent="0.25">
      <c r="B21" s="141"/>
      <c r="C21" s="68" t="s">
        <v>136</v>
      </c>
      <c r="D21" s="68" t="s">
        <v>138</v>
      </c>
      <c r="E21" s="144"/>
      <c r="F21" s="144"/>
    </row>
    <row r="22" spans="2:6" x14ac:dyDescent="0.25">
      <c r="B22" s="69">
        <v>6</v>
      </c>
      <c r="C22" s="70" t="s">
        <v>209</v>
      </c>
      <c r="D22" s="70" t="s">
        <v>99</v>
      </c>
      <c r="E22" s="71">
        <v>1</v>
      </c>
      <c r="F22" s="71">
        <v>30</v>
      </c>
    </row>
    <row r="23" spans="2:6" x14ac:dyDescent="0.25">
      <c r="B23" s="72">
        <v>7</v>
      </c>
      <c r="C23" s="73" t="s">
        <v>179</v>
      </c>
      <c r="D23" s="73" t="s">
        <v>104</v>
      </c>
      <c r="E23" s="74">
        <v>2</v>
      </c>
      <c r="F23" s="74">
        <v>60</v>
      </c>
    </row>
    <row r="24" spans="2:6" x14ac:dyDescent="0.25">
      <c r="B24" s="75">
        <v>8</v>
      </c>
      <c r="C24" s="76" t="s">
        <v>210</v>
      </c>
      <c r="D24" s="76" t="s">
        <v>109</v>
      </c>
      <c r="E24" s="77">
        <v>3</v>
      </c>
      <c r="F24" s="77">
        <v>90</v>
      </c>
    </row>
    <row r="25" spans="2:6" ht="15.75" thickBot="1" x14ac:dyDescent="0.3">
      <c r="B25" s="78">
        <v>9</v>
      </c>
      <c r="C25" s="79" t="s">
        <v>206</v>
      </c>
      <c r="D25" s="79" t="s">
        <v>86</v>
      </c>
      <c r="E25" s="80">
        <v>1</v>
      </c>
      <c r="F25" s="80">
        <v>30</v>
      </c>
    </row>
  </sheetData>
  <mergeCells count="15">
    <mergeCell ref="B3:B7"/>
    <mergeCell ref="B8:B10"/>
    <mergeCell ref="E3:E7"/>
    <mergeCell ref="F3:F7"/>
    <mergeCell ref="B11:B16"/>
    <mergeCell ref="E8:E10"/>
    <mergeCell ref="E11:E16"/>
    <mergeCell ref="F8:F10"/>
    <mergeCell ref="F11:F16"/>
    <mergeCell ref="E17:E18"/>
    <mergeCell ref="F17:F18"/>
    <mergeCell ref="B17:B18"/>
    <mergeCell ref="B19:B21"/>
    <mergeCell ref="E19:E21"/>
    <mergeCell ref="F19:F21"/>
  </mergeCells>
  <pageMargins left="0.25" right="0.25" top="0.75" bottom="0.75" header="0.3" footer="0.3"/>
  <pageSetup paperSize="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F661-BF8C-43FE-884B-7BFBC3DA3143}">
  <dimension ref="B2:K20"/>
  <sheetViews>
    <sheetView showGridLines="0" zoomScale="86" zoomScaleNormal="145" workbookViewId="0">
      <selection activeCell="J12" sqref="J12"/>
    </sheetView>
  </sheetViews>
  <sheetFormatPr defaultRowHeight="15" x14ac:dyDescent="0.25"/>
  <cols>
    <col min="2" max="2" width="9.7109375" bestFit="1" customWidth="1"/>
    <col min="3" max="3" width="21.42578125" bestFit="1" customWidth="1"/>
    <col min="4" max="4" width="24" bestFit="1" customWidth="1"/>
    <col min="5" max="5" width="15.85546875" bestFit="1" customWidth="1"/>
    <col min="6" max="6" width="13" bestFit="1" customWidth="1"/>
    <col min="7" max="7" width="16.140625" bestFit="1" customWidth="1"/>
    <col min="8" max="9" width="17.140625" bestFit="1" customWidth="1"/>
    <col min="10" max="10" width="21.28515625" customWidth="1"/>
    <col min="11" max="11" width="12.7109375" bestFit="1" customWidth="1"/>
    <col min="12" max="12" width="15.7109375" customWidth="1"/>
    <col min="13" max="13" width="14.5703125" customWidth="1"/>
  </cols>
  <sheetData>
    <row r="2" spans="2:11" ht="15" customHeight="1" x14ac:dyDescent="0.25">
      <c r="B2" s="1" t="s">
        <v>35</v>
      </c>
      <c r="C2" s="2" t="s">
        <v>0</v>
      </c>
      <c r="D2" s="1" t="s">
        <v>108</v>
      </c>
      <c r="E2" s="2" t="s">
        <v>33</v>
      </c>
      <c r="F2" s="2" t="s">
        <v>1</v>
      </c>
      <c r="G2" s="2" t="s">
        <v>60</v>
      </c>
      <c r="H2" s="2" t="s">
        <v>103</v>
      </c>
      <c r="I2" s="2" t="s">
        <v>59</v>
      </c>
      <c r="J2" s="2" t="s">
        <v>44</v>
      </c>
      <c r="K2" s="2" t="s">
        <v>58</v>
      </c>
    </row>
    <row r="3" spans="2:11" ht="15" customHeight="1" x14ac:dyDescent="0.25">
      <c r="B3" s="10">
        <v>2</v>
      </c>
      <c r="C3" s="4" t="s">
        <v>61</v>
      </c>
      <c r="D3" s="4" t="s">
        <v>73</v>
      </c>
      <c r="E3" s="17"/>
      <c r="F3" s="4"/>
      <c r="G3" s="4"/>
      <c r="H3" s="4"/>
      <c r="I3" s="5"/>
      <c r="J3" s="6"/>
      <c r="K3" s="11"/>
    </row>
    <row r="4" spans="2:11" ht="15" customHeight="1" x14ac:dyDescent="0.25">
      <c r="B4" s="10">
        <v>3</v>
      </c>
      <c r="C4" s="4" t="s">
        <v>62</v>
      </c>
      <c r="D4" s="4" t="s">
        <v>74</v>
      </c>
      <c r="E4" s="17"/>
      <c r="F4" s="4"/>
      <c r="G4" s="4"/>
      <c r="H4" s="4"/>
      <c r="I4" s="5"/>
      <c r="J4" s="6"/>
      <c r="K4" s="11"/>
    </row>
    <row r="5" spans="2:11" ht="15" customHeight="1" x14ac:dyDescent="0.25">
      <c r="B5" s="10">
        <v>4</v>
      </c>
      <c r="C5" s="4" t="s">
        <v>63</v>
      </c>
      <c r="D5" s="4" t="s">
        <v>64</v>
      </c>
      <c r="E5" s="17"/>
      <c r="F5" s="4"/>
      <c r="G5" s="4"/>
      <c r="H5" s="4"/>
      <c r="I5" s="5"/>
      <c r="J5" s="6"/>
      <c r="K5" s="11"/>
    </row>
    <row r="6" spans="2:11" ht="15" customHeight="1" x14ac:dyDescent="0.25">
      <c r="B6" s="10">
        <v>5</v>
      </c>
      <c r="C6" s="4" t="s">
        <v>65</v>
      </c>
      <c r="D6" s="4" t="s">
        <v>75</v>
      </c>
      <c r="E6" s="17"/>
      <c r="F6" s="4"/>
      <c r="G6" s="4"/>
      <c r="H6" s="4"/>
      <c r="I6" s="5"/>
      <c r="J6" s="6"/>
      <c r="K6" s="11"/>
    </row>
    <row r="7" spans="2:11" ht="15" customHeight="1" x14ac:dyDescent="0.25">
      <c r="B7" s="10">
        <v>6</v>
      </c>
      <c r="C7" s="4" t="s">
        <v>66</v>
      </c>
      <c r="D7" s="4" t="s">
        <v>76</v>
      </c>
      <c r="E7" s="17"/>
      <c r="F7" s="4"/>
      <c r="G7" s="4"/>
      <c r="H7" s="4"/>
      <c r="I7" s="5"/>
      <c r="J7" s="6"/>
      <c r="K7" s="11"/>
    </row>
    <row r="8" spans="2:11" ht="15" customHeight="1" x14ac:dyDescent="0.25">
      <c r="B8" s="10">
        <v>7</v>
      </c>
      <c r="C8" s="4" t="s">
        <v>67</v>
      </c>
      <c r="D8" s="4" t="s">
        <v>77</v>
      </c>
      <c r="E8" s="17"/>
      <c r="F8" s="4"/>
      <c r="G8" s="4"/>
      <c r="H8" s="4"/>
      <c r="I8" s="5"/>
      <c r="J8" s="6"/>
      <c r="K8" s="11"/>
    </row>
    <row r="9" spans="2:11" ht="15" customHeight="1" x14ac:dyDescent="0.25">
      <c r="B9" s="10">
        <v>9</v>
      </c>
      <c r="C9" s="4" t="s">
        <v>69</v>
      </c>
      <c r="D9" s="4" t="s">
        <v>70</v>
      </c>
      <c r="E9" s="17"/>
      <c r="F9" s="4"/>
      <c r="G9" s="4"/>
      <c r="H9" s="4"/>
      <c r="I9" s="5"/>
      <c r="J9" s="6"/>
      <c r="K9" s="11"/>
    </row>
    <row r="10" spans="2:11" ht="15" customHeight="1" x14ac:dyDescent="0.25">
      <c r="B10" s="12">
        <v>10</v>
      </c>
      <c r="C10" s="7" t="s">
        <v>71</v>
      </c>
      <c r="D10" s="7" t="s">
        <v>72</v>
      </c>
      <c r="E10" s="17"/>
      <c r="F10" s="7"/>
      <c r="G10" s="7"/>
      <c r="H10" s="7"/>
      <c r="I10" s="8"/>
      <c r="J10" s="9"/>
      <c r="K10" s="13"/>
    </row>
    <row r="11" spans="2:11" ht="15" customHeight="1" x14ac:dyDescent="0.25">
      <c r="B11" s="16"/>
      <c r="C11" s="17" t="s">
        <v>78</v>
      </c>
      <c r="D11" s="16"/>
      <c r="E11" s="17" t="s">
        <v>80</v>
      </c>
      <c r="F11" s="17" t="s">
        <v>36</v>
      </c>
      <c r="G11" s="17" t="s">
        <v>37</v>
      </c>
      <c r="H11" s="17"/>
      <c r="I11" s="18" t="s">
        <v>49</v>
      </c>
      <c r="J11" s="19" t="s">
        <v>48</v>
      </c>
      <c r="K11" s="19" t="s">
        <v>45</v>
      </c>
    </row>
    <row r="12" spans="2:11" ht="15" customHeight="1" x14ac:dyDescent="0.25">
      <c r="B12" s="16">
        <v>22</v>
      </c>
      <c r="C12" s="17" t="s">
        <v>89</v>
      </c>
      <c r="D12" s="16"/>
      <c r="E12" s="17" t="s">
        <v>91</v>
      </c>
      <c r="F12" s="17" t="s">
        <v>90</v>
      </c>
      <c r="G12" s="17" t="s">
        <v>28</v>
      </c>
      <c r="H12" s="17"/>
      <c r="I12" s="18"/>
      <c r="J12" s="19"/>
      <c r="K12" s="19"/>
    </row>
    <row r="13" spans="2:11" ht="15" customHeight="1" x14ac:dyDescent="0.25"/>
    <row r="14" spans="2:11" ht="15" customHeight="1" x14ac:dyDescent="0.25"/>
    <row r="15" spans="2:11" ht="15" customHeight="1" x14ac:dyDescent="0.25"/>
    <row r="16" spans="2:1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</sheetData>
  <pageMargins left="0.25" right="0.25" top="0.75" bottom="0.75" header="0.3" footer="0.3"/>
  <pageSetup paperSize="9" orientation="landscape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Supplements</vt:lpstr>
      <vt:lpstr>Substances</vt:lpstr>
      <vt:lpstr>Pedido Control Vita</vt:lpstr>
      <vt:lpstr>Pedido Control Vita (2)</vt:lpstr>
      <vt:lpstr>Wish-List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Joao Leite</cp:lastModifiedBy>
  <cp:lastPrinted>2025-07-16T01:12:46Z</cp:lastPrinted>
  <dcterms:created xsi:type="dcterms:W3CDTF">2025-05-27T13:48:22Z</dcterms:created>
  <dcterms:modified xsi:type="dcterms:W3CDTF">2025-09-16T18:14:06Z</dcterms:modified>
</cp:coreProperties>
</file>